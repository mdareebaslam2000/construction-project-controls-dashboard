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6827a583b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f66ade890b24925"/>
    <x:sheet xmlns:r="http://schemas.openxmlformats.org/officeDocument/2006/relationships" name="WBS Status" sheetId="2" r:id="R2b32482ec0ef4cc8"/>
    <x:sheet xmlns:r="http://schemas.openxmlformats.org/officeDocument/2006/relationships" name="Monthly Trend" sheetId="3" r:id="Rd03505fa35de45c4"/>
    <x:sheet xmlns:r="http://schemas.openxmlformats.org/officeDocument/2006/relationships" name="Assumptions" sheetId="4" r:id="Rcc5011f1671e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a6b39ade444fd" /><Relationship Type="http://schemas.openxmlformats.org/officeDocument/2006/relationships/theme" Target="/xl/theme/theme1.xml" Id="Rce74c44b802d4133" /><Relationship Type="http://schemas.openxmlformats.org/officeDocument/2006/relationships/sharedStrings" Target="/xl/sharedStrings.xml" Id="R7424ecee3aff483e" /><Relationship Type="http://schemas.openxmlformats.org/officeDocument/2006/relationships/worksheet" Target="/xl/worksheets/sheet1.xml" Id="R5f66ade890b24925" /><Relationship Type="http://schemas.openxmlformats.org/officeDocument/2006/relationships/worksheet" Target="/xl/worksheets/sheet2.xml" Id="R2b32482ec0ef4cc8" /><Relationship Type="http://schemas.openxmlformats.org/officeDocument/2006/relationships/worksheet" Target="/xl/worksheets/sheet3.xml" Id="Rd03505fa35de45c4" /><Relationship Type="http://schemas.openxmlformats.org/officeDocument/2006/relationships/worksheet" Target="/xl/worksheets/sheet4.xml" Id="Rcc5011f1671e47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dcf80d47dc48b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549d17cf8cd46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 Cost / Earned Value Snapshot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'Executive Summary'!$A$5:$A$10</c:f>
              <c:strCache>
                <c:ptCount val="0"/>
              </c:strCache>
            </c:strRef>
          </c:cat>
          <c:val>
            <c:numRef>
              <c:f>'Executive Summary'!$B$5:$B$10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EVM S-Curve — Month 10 Status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PV</c:v>
          </c:tx>
          <c:marker>
            <c:symbol val="none"/>
          </c:marker>
          <c:cat>
            <c:strRef>
              <c:f>'Monthly Trend'!$A$2:$A$11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 Trend'!$E$2:$E$11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EV</c:v>
          </c:tx>
          <c:marker>
            <c:symbol val="none"/>
          </c:marker>
          <c:cat>
            <c:strRef>
              <c:f>'Monthly Trend'!$A$2:$A$11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 Trend'!$F$2:$F$11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AC</c:v>
          </c:tx>
          <c:marker>
            <c:symbol val="none"/>
          </c:marker>
          <c:cat>
            <c:strRef>
              <c:f>'Monthly Trend'!$A$2:$A$11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 Trend'!$G$2:$G$11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dcf80d47dc48b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49d17cf8cd46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be10f3e5b14c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636a8fdfa4047c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22" hidden="0" customWidth="1"/>
    <x:col min="8" max="8" width="42" hidden="0" customWidth="1"/>
  </x:cols>
  <x:sheetData>
    <x:row r="1">
      <x:c r="A1" s="5" t="str">
        <x:v>$200M Data Center Project Controls — Monthly Status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Status Date: Month 10 of 24 | Fictional portfolio project for project-controls training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Metric</x:v>
      </x:c>
      <x:c r="B4" s="18" t="str">
        <x:v>Value</x:v>
      </x:c>
      <x:c r="D4" s="18" t="str">
        <x:v>Forecast Metric</x:v>
      </x:c>
      <x:c r="E4" s="18" t="str">
        <x:v>Value</x:v>
      </x:c>
      <x:c r="G4" s="18" t="str">
        <x:v>Management View</x:v>
      </x:c>
      <x:c r="H4" s="18" t="str">
        <x:v>Status</x:v>
      </x:c>
    </x:row>
    <x:row r="5">
      <x:c r="A5" t="str">
        <x:v>Total Project Authorization</x:v>
      </x:c>
      <x:c r="B5" s="42" t="n">
        <x:v>200000000</x:v>
      </x:c>
      <x:c r="D5" t="str">
        <x:v>Cost Variance (CV)</x:v>
      </x:c>
      <x:c r="E5" s="42" t="n">
        <x:f>B9-B10</x:f>
        <x:v>102160000</x:v>
      </x:c>
      <x:c r="G5" t="str">
        <x:v>Cost</x:v>
      </x:c>
      <x:c r="H5" t="str">
        <x:v>Watch</x:v>
      </x:c>
    </x:row>
    <x:row r="6">
      <x:c r="A6" t="str">
        <x:v>Performance Measurement Baseline (BAC)</x:v>
      </x:c>
      <x:c r="B6" s="42" t="n">
        <x:v>182000000</x:v>
      </x:c>
      <x:c r="D6" t="str">
        <x:v>Schedule Variance (SV)</x:v>
      </x:c>
      <x:c r="E6" s="42" t="n">
        <x:f>B9-B8</x:f>
        <x:v>5260000</x:v>
      </x:c>
      <x:c r="G6" t="str">
        <x:v>Schedule</x:v>
      </x:c>
      <x:c r="H6" t="str">
        <x:v>Behind</x:v>
      </x:c>
    </x:row>
    <x:row r="7">
      <x:c r="A7" t="str">
        <x:v>Management Reserve</x:v>
      </x:c>
      <x:c r="B7" s="42" t="n">
        <x:v>18000000</x:v>
      </x:c>
      <x:c r="D7" t="str">
        <x:v>Estimate at Completion (EAC)</x:v>
      </x:c>
      <x:c r="E7" s="42" t="n">
        <x:f>B6/B11</x:f>
        <x:v>-9879463.364293085</x:v>
      </x:c>
      <x:c r="G7" t="str">
        <x:v>Forecast</x:v>
      </x:c>
      <x:c r="H7" t="str">
        <x:v>Over BAC</x:v>
      </x:c>
    </x:row>
    <x:row r="8">
      <x:c r="A8" t="str">
        <x:v>Planned Value (PV)</x:v>
      </x:c>
      <x:c r="B8" s="42" t="n">
        <x:f>'WBS Status'!H12</x:f>
        <x:v>91640000</x:v>
      </x:c>
      <x:c r="D8" t="str">
        <x:v>Estimate to Complete (ETC)</x:v>
      </x:c>
      <x:c r="E8" s="42" t="n">
        <x:f>E7-B10</x:f>
        <x:v>-4619463.364293085</x:v>
      </x:c>
      <x:c r="G8" t="str">
        <x:v>Primary Drivers</x:v>
      </x:c>
      <x:c r="H8" t="str">
        <x:v>Switchgear delay; electrical cost pressure; mechanical productivity</x:v>
      </x:c>
    </x:row>
    <x:row r="9">
      <x:c r="A9" t="str">
        <x:v>Earned Value (EV)</x:v>
      </x:c>
      <x:c r="B9" s="42" t="n">
        <x:f>'WBS Status'!I12</x:f>
        <x:v>96900000</x:v>
      </x:c>
      <x:c r="D9" t="str">
        <x:v>Variance at Completion (VAC)</x:v>
      </x:c>
      <x:c r="E9" s="42" t="n">
        <x:f>B6-E7</x:f>
        <x:v>191879463.3642931</x:v>
      </x:c>
      <x:c r="G9" t="str">
        <x:v>Overall</x:v>
      </x:c>
      <x:c r="H9" t="str">
        <x:v>Needs corrective action</x:v>
      </x:c>
    </x:row>
    <x:row r="10">
      <x:c r="A10" t="str">
        <x:v>Actual Cost (AC)</x:v>
      </x:c>
      <x:c r="B10" s="42" t="n">
        <x:f>'WBS Status'!J12</x:f>
        <x:v>-5260000</x:v>
      </x:c>
      <x:c r="D10" t="str">
        <x:v>TCPI (to BAC)</x:v>
      </x:c>
      <x:c r="E10" s="52" t="n">
        <x:f>(B6-B9)/(B6-B10)</x:f>
        <x:v>0.45444836056819393</x:v>
      </x:c>
    </x:row>
    <x:row r="11">
      <x:c r="A11" t="str">
        <x:v>Cost Performance Index (CPI)</x:v>
      </x:c>
      <x:c r="B11" s="52" t="n">
        <x:f>B9/B10</x:f>
        <x:v>-18.422053231939163</x:v>
      </x:c>
    </x:row>
    <x:row r="12">
      <x:c r="A12" t="str">
        <x:v>Schedule Performance Index (SPI)</x:v>
      </x:c>
      <x:c r="B12" s="52" t="n">
        <x:f>B9/B8</x:f>
        <x:v>1.0573985159319075</x:v>
      </x:c>
    </x:row>
    <x:row r="14">
      <x:c r="A14" s="18" t="str">
        <x:v>Analyst Interpretation</x:v>
      </x:c>
      <x:c r="B14" s="18"/>
      <x:c r="C14" s="18"/>
      <x:c r="D14" s="18"/>
      <x:c r="E14" s="18"/>
      <x:c r="F14" s="18"/>
      <x:c r="G14" s="18"/>
      <x:c r="H14" s="18"/>
    </x:row>
    <x:row r="15">
      <x:c r="A15" s="24" t="str">
        <x:v>At Month 10, the project is earning less value than planned and is spending more than the value earned. CPI below 1.00 indicates cost inefficiency; SPI below 1.00 indicates schedule slippage. The current CPI-based forecast projects a finish above the $182M performance baseline, with the largest pressure coming from electrical procurement/cost growth and mechanical productivity.</x:v>
      </x:c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</x:sheetData>
  <x:mergeCells>
    <x:mergeCell ref="A1:H1"/>
    <x:mergeCell ref="A2:H2"/>
    <x:mergeCell ref="A14:H14"/>
    <x:mergeCell ref="A15:H18"/>
  </x:mergeCells>
  <x:pageMargins left="0.7" right="0.7" top="0.75" bottom="0.75" header="0.3" footer="0.3"/>
  <x:drawing xmlns:r="http://schemas.openxmlformats.org/officeDocument/2006/relationships" r:id="R21be10f3e5b14c8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4" max="14" width="14" hidden="0" customWidth="1"/>
    <x:col min="15" max="15" width="14" hidden="0" customWidth="1"/>
    <x:col min="16" max="16" width="14" hidden="0" customWidth="1"/>
    <x:col min="4" max="4" width="13" hidden="0" customWidth="1"/>
    <x:col min="5" max="5" width="13" hidden="0" customWidth="1"/>
    <x:col min="12" max="12" width="13" hidden="0" customWidth="1"/>
    <x:col min="13" max="13" width="13" hidden="0" customWidth="1"/>
    <x:col min="17" max="17" width="18" hidden="0" customWidth="1"/>
    <x:col min="18" max="18" width="42" hidden="0" customWidth="1"/>
  </x:cols>
  <x:sheetData>
    <x:row r="1">
      <x:c r="A1" s="28" t="str">
        <x:v>WBS</x:v>
      </x:c>
      <x:c r="B1" s="28" t="str">
        <x:v>Control Account</x:v>
      </x:c>
      <x:c r="C1" s="28" t="str">
        <x:v>BAC</x:v>
      </x:c>
      <x:c r="D1" s="28" t="str">
        <x:v>Planned %</x:v>
      </x:c>
      <x:c r="E1" s="28" t="str">
        <x:v>Actual % Complete</x:v>
      </x:c>
      <x:c r="F1" s="28" t="str">
        <x:v>Actual Cost</x:v>
      </x:c>
      <x:c r="G1" s="28" t="str">
        <x:v>PV</x:v>
      </x:c>
      <x:c r="H1" s="28" t="str">
        <x:v>EV</x:v>
      </x:c>
      <x:c r="I1" s="28" t="str">
        <x:v>AC</x:v>
      </x:c>
      <x:c r="J1" s="28" t="str">
        <x:v>CV</x:v>
      </x:c>
      <x:c r="K1" s="28" t="str">
        <x:v>SV</x:v>
      </x:c>
      <x:c r="L1" s="28" t="str">
        <x:v>CPI</x:v>
      </x:c>
      <x:c r="M1" s="28" t="str">
        <x:v>SPI</x:v>
      </x:c>
      <x:c r="N1" s="28" t="str">
        <x:v>EAC</x:v>
      </x:c>
      <x:c r="O1" s="28" t="str">
        <x:v>ETC</x:v>
      </x:c>
      <x:c r="P1" s="28" t="str">
        <x:v>VAC</x:v>
      </x:c>
      <x:c r="Q1" s="28" t="str">
        <x:v>Status</x:v>
      </x:c>
      <x:c r="R1" s="28" t="str">
        <x:v>Variance Driver</x:v>
      </x:c>
    </x:row>
    <x:row r="2">
      <x:c r="A2" s="22" t="str">
        <x:v>1.0</x:v>
      </x:c>
      <x:c r="B2" s="22" t="str">
        <x:v>Preconstruction &amp; General Conditions</x:v>
      </x:c>
      <x:c r="C2" s="30" t="n">
        <x:v>12000000</x:v>
      </x:c>
      <x:c r="D2" s="34" t="n">
        <x:v>1</x:v>
      </x:c>
      <x:c r="E2" s="34" t="n">
        <x:v>1</x:v>
      </x:c>
      <x:c r="F2" s="30" t="n">
        <x:v>12400000</x:v>
      </x:c>
      <x:c r="G2" s="30" t="n">
        <x:f>C2*D2</x:f>
        <x:v>12000000</x:v>
      </x:c>
      <x:c r="H2" s="30" t="n">
        <x:f>C2*E2</x:f>
        <x:v>12000000</x:v>
      </x:c>
      <x:c r="I2" s="30" t="n">
        <x:f>F2</x:f>
        <x:v>12400000</x:v>
      </x:c>
      <x:c r="J2" s="30" t="n">
        <x:f>H2-I2</x:f>
        <x:v>-400000</x:v>
      </x:c>
      <x:c r="K2" s="30" t="n">
        <x:f>H2-G2</x:f>
        <x:v>0</x:v>
      </x:c>
      <x:c r="L2" s="36" t="n">
        <x:f>IF(I2=0,1,H2/I2)</x:f>
        <x:v>0.967741935483871</x:v>
      </x:c>
      <x:c r="M2" s="36" t="n">
        <x:f>IF(G2=0,1,H2/G2)</x:f>
        <x:v>1</x:v>
      </x:c>
      <x:c r="N2" s="30" t="n">
        <x:f>IF(L2=0,C2,C2/L2)</x:f>
        <x:v>12400000</x:v>
      </x:c>
      <x:c r="O2" s="30" t="n">
        <x:f>N2-I2</x:f>
        <x:v>0</x:v>
      </x:c>
      <x:c r="P2" s="30" t="n">
        <x:f>C2-N2</x:f>
        <x:v>-400000</x:v>
      </x:c>
      <x:c r="Q2" s="22" t="str">
        <x:v>Complete</x:v>
      </x:c>
      <x:c r="R2" s="22" t="str">
        <x:v>Closed slightly over plan due to preconstruction support extension</x:v>
      </x:c>
    </x:row>
    <x:row r="3">
      <x:c r="A3" s="22" t="str">
        <x:v>2.0</x:v>
      </x:c>
      <x:c r="B3" s="22" t="str">
        <x:v>Sitework &amp; Civil</x:v>
      </x:c>
      <x:c r="C3" s="30" t="n">
        <x:v>16000000</x:v>
      </x:c>
      <x:c r="D3" s="34" t="n">
        <x:v>1</x:v>
      </x:c>
      <x:c r="E3" s="34" t="n">
        <x:v>1</x:v>
      </x:c>
      <x:c r="F3" s="30" t="n">
        <x:v>15300000</x:v>
      </x:c>
      <x:c r="G3" s="30" t="n">
        <x:f>C3*D3</x:f>
        <x:v>16000000</x:v>
      </x:c>
      <x:c r="H3" s="30" t="n">
        <x:f>C3*E3</x:f>
        <x:v>16000000</x:v>
      </x:c>
      <x:c r="I3" s="30" t="n">
        <x:f>F3</x:f>
        <x:v>15300000</x:v>
      </x:c>
      <x:c r="J3" s="30" t="n">
        <x:f>H3-I3</x:f>
        <x:v>700000</x:v>
      </x:c>
      <x:c r="K3" s="30" t="n">
        <x:f>H3-G3</x:f>
        <x:v>0</x:v>
      </x:c>
      <x:c r="L3" s="36" t="n">
        <x:f>IF(I3=0,1,H3/I3)</x:f>
        <x:v>1.0457516339869282</x:v>
      </x:c>
      <x:c r="M3" s="36" t="n">
        <x:f>IF(G3=0,1,H3/G3)</x:f>
        <x:v>1</x:v>
      </x:c>
      <x:c r="N3" s="30" t="n">
        <x:f>IF(L3=0,C3,C3/L3)</x:f>
        <x:v>15300000</x:v>
      </x:c>
      <x:c r="O3" s="30" t="n">
        <x:f>N3-I3</x:f>
        <x:v>0</x:v>
      </x:c>
      <x:c r="P3" s="30" t="n">
        <x:f>C3-N3</x:f>
        <x:v>700000</x:v>
      </x:c>
      <x:c r="Q3" s="22" t="str">
        <x:v>Complete</x:v>
      </x:c>
      <x:c r="R3" s="22" t="str">
        <x:v>Favorable vendor closeout and earthwork efficiency</x:v>
      </x:c>
    </x:row>
    <x:row r="4">
      <x:c r="A4" s="22" t="str">
        <x:v>3.0</x:v>
      </x:c>
      <x:c r="B4" s="22" t="str">
        <x:v>Foundations &amp; Concrete</x:v>
      </x:c>
      <x:c r="C4" s="30" t="n">
        <x:v>24000000</x:v>
      </x:c>
      <x:c r="D4" s="34" t="n">
        <x:v>0.9</x:v>
      </x:c>
      <x:c r="E4" s="34" t="n">
        <x:v>0.88</x:v>
      </x:c>
      <x:c r="F4" s="30" t="n">
        <x:v>21800000</x:v>
      </x:c>
      <x:c r="G4" s="30" t="n">
        <x:f>C4*D4</x:f>
        <x:v>21600000</x:v>
      </x:c>
      <x:c r="H4" s="30" t="n">
        <x:f>C4*E4</x:f>
        <x:v>21120000</x:v>
      </x:c>
      <x:c r="I4" s="30" t="n">
        <x:f>F4</x:f>
        <x:v>21800000</x:v>
      </x:c>
      <x:c r="J4" s="30" t="n">
        <x:f>H4-I4</x:f>
        <x:v>-680000</x:v>
      </x:c>
      <x:c r="K4" s="30" t="n">
        <x:f>H4-G4</x:f>
        <x:v>-480000</x:v>
      </x:c>
      <x:c r="L4" s="36" t="n">
        <x:f>IF(I4=0,1,H4/I4)</x:f>
        <x:v>0.9688073394495413</x:v>
      </x:c>
      <x:c r="M4" s="36" t="n">
        <x:f>IF(G4=0,1,H4/G4)</x:f>
        <x:v>0.9777777777777777</x:v>
      </x:c>
      <x:c r="N4" s="30" t="n">
        <x:f>IF(L4=0,C4,C4/L4)</x:f>
        <x:v>24772727.27272727</x:v>
      </x:c>
      <x:c r="O4" s="30" t="n">
        <x:f>N4-I4</x:f>
        <x:v>2972727.2727272697</x:v>
      </x:c>
      <x:c r="P4" s="30" t="n">
        <x:f>C4-N4</x:f>
        <x:v>-772727.2727272697</x:v>
      </x:c>
      <x:c r="Q4" s="22" t="str">
        <x:v>Watch</x:v>
      </x:c>
      <x:c r="R4" s="22" t="str">
        <x:v>Minor concrete rework and sequence slippage</x:v>
      </x:c>
    </x:row>
    <x:row r="5">
      <x:c r="A5" s="22" t="str">
        <x:v>4.0</x:v>
      </x:c>
      <x:c r="B5" s="22" t="str">
        <x:v>Structural Steel / Envelope</x:v>
      </x:c>
      <x:c r="C5" s="30" t="n">
        <x:v>28000000</x:v>
      </x:c>
      <x:c r="D5" s="34" t="n">
        <x:v>0.7</x:v>
      </x:c>
      <x:c r="E5" s="34" t="n">
        <x:v>0.63</x:v>
      </x:c>
      <x:c r="F5" s="30" t="n">
        <x:v>18900000</x:v>
      </x:c>
      <x:c r="G5" s="30" t="n">
        <x:f>C5*D5</x:f>
        <x:v>19600000</x:v>
      </x:c>
      <x:c r="H5" s="30" t="n">
        <x:f>C5*E5</x:f>
        <x:v>17640000</x:v>
      </x:c>
      <x:c r="I5" s="30" t="n">
        <x:f>F5</x:f>
        <x:v>18900000</x:v>
      </x:c>
      <x:c r="J5" s="30" t="n">
        <x:f>H5-I5</x:f>
        <x:v>-1260000</x:v>
      </x:c>
      <x:c r="K5" s="30" t="n">
        <x:f>H5-G5</x:f>
        <x:v>-1960000</x:v>
      </x:c>
      <x:c r="L5" s="36" t="n">
        <x:f>IF(I5=0,1,H5/I5)</x:f>
        <x:v>0.9333333333333333</x:v>
      </x:c>
      <x:c r="M5" s="36" t="n">
        <x:f>IF(G5=0,1,H5/G5)</x:f>
        <x:v>0.9</x:v>
      </x:c>
      <x:c r="N5" s="30" t="n">
        <x:f>IF(L5=0,C5,C5/L5)</x:f>
        <x:v>30000000</x:v>
      </x:c>
      <x:c r="O5" s="30" t="n">
        <x:f>N5-I5</x:f>
        <x:v>11100000</x:v>
      </x:c>
      <x:c r="P5" s="30" t="n">
        <x:f>C5-N5</x:f>
        <x:v>-2000000</x:v>
      </x:c>
      <x:c r="Q5" s="22" t="str">
        <x:v>Behind</x:v>
      </x:c>
      <x:c r="R5" s="22" t="str">
        <x:v>Steel erection / envelope handoff later than baseline</x:v>
      </x:c>
    </x:row>
    <x:row r="6">
      <x:c r="A6" s="22" t="str">
        <x:v>5.0</x:v>
      </x:c>
      <x:c r="B6" s="22" t="str">
        <x:v>Electrical</x:v>
      </x:c>
      <x:c r="C6" s="30" t="n">
        <x:v>46000000</x:v>
      </x:c>
      <x:c r="D6" s="34" t="n">
        <x:v>0.38</x:v>
      </x:c>
      <x:c r="E6" s="34" t="n">
        <x:v>0.3</x:v>
      </x:c>
      <x:c r="F6" s="30" t="n">
        <x:v>15800000</x:v>
      </x:c>
      <x:c r="G6" s="30" t="n">
        <x:f>C6*D6</x:f>
        <x:v>17480000</x:v>
      </x:c>
      <x:c r="H6" s="30" t="n">
        <x:f>C6*E6</x:f>
        <x:v>13800000</x:v>
      </x:c>
      <x:c r="I6" s="30" t="n">
        <x:f>F6</x:f>
        <x:v>15800000</x:v>
      </x:c>
      <x:c r="J6" s="30" t="n">
        <x:f>H6-I6</x:f>
        <x:v>-2000000</x:v>
      </x:c>
      <x:c r="K6" s="30" t="n">
        <x:f>H6-G6</x:f>
        <x:v>-3680000</x:v>
      </x:c>
      <x:c r="L6" s="36" t="n">
        <x:f>IF(I6=0,1,H6/I6)</x:f>
        <x:v>0.8734177215189873</x:v>
      </x:c>
      <x:c r="M6" s="36" t="n">
        <x:f>IF(G6=0,1,H6/G6)</x:f>
        <x:v>0.7894736842105263</x:v>
      </x:c>
      <x:c r="N6" s="30" t="n">
        <x:f>IF(L6=0,C6,C6/L6)</x:f>
        <x:v>52666666.666666664</x:v>
      </x:c>
      <x:c r="O6" s="30" t="n">
        <x:f>N6-I6</x:f>
        <x:v>36866666.666666664</x:v>
      </x:c>
      <x:c r="P6" s="30" t="n">
        <x:f>C6-N6</x:f>
        <x:v>-6666666.666666664</x:v>
      </x:c>
      <x:c r="Q6" s="22" t="str">
        <x:v>Critical</x:v>
      </x:c>
      <x:c r="R6" s="22" t="str">
        <x:v>Switchgear and generator procurement delay; material escalation</x:v>
      </x:c>
    </x:row>
    <x:row r="7">
      <x:c r="A7" s="22" t="str">
        <x:v>6.0</x:v>
      </x:c>
      <x:c r="B7" s="22" t="str">
        <x:v>Mechanical / HVAC</x:v>
      </x:c>
      <x:c r="C7" s="30" t="n">
        <x:v>38000000</x:v>
      </x:c>
      <x:c r="D7" s="34" t="n">
        <x:v>0.32</x:v>
      </x:c>
      <x:c r="E7" s="34" t="n">
        <x:v>0.26</x:v>
      </x:c>
      <x:c r="F7" s="30" t="n">
        <x:v>11200000</x:v>
      </x:c>
      <x:c r="G7" s="30" t="n">
        <x:f>C7*D7</x:f>
        <x:v>12160000</x:v>
      </x:c>
      <x:c r="H7" s="30" t="n">
        <x:f>C7*E7</x:f>
        <x:v>9880000</x:v>
      </x:c>
      <x:c r="I7" s="30" t="n">
        <x:f>F7</x:f>
        <x:v>11200000</x:v>
      </x:c>
      <x:c r="J7" s="30" t="n">
        <x:f>H7-I7</x:f>
        <x:v>-1320000</x:v>
      </x:c>
      <x:c r="K7" s="30" t="n">
        <x:f>H7-G7</x:f>
        <x:v>-2280000</x:v>
      </x:c>
      <x:c r="L7" s="36" t="n">
        <x:f>IF(I7=0,1,H7/I7)</x:f>
        <x:v>0.8821428571428571</x:v>
      </x:c>
      <x:c r="M7" s="36" t="n">
        <x:f>IF(G7=0,1,H7/G7)</x:f>
        <x:v>0.8125</x:v>
      </x:c>
      <x:c r="N7" s="30" t="n">
        <x:f>IF(L7=0,C7,C7/L7)</x:f>
        <x:v>43076923.07692308</x:v>
      </x:c>
      <x:c r="O7" s="30" t="n">
        <x:f>N7-I7</x:f>
        <x:v>31876923.07692308</x:v>
      </x:c>
      <x:c r="P7" s="30" t="n">
        <x:f>C7-N7</x:f>
        <x:v>-5076923.07692308</x:v>
      </x:c>
      <x:c r="Q7" s="22" t="str">
        <x:v>Watch</x:v>
      </x:c>
      <x:c r="R7" s="22" t="str">
        <x:v>Field productivity below plan; rework / overtime pressure</x:v>
      </x:c>
    </x:row>
    <x:row r="8">
      <x:c r="A8" s="22" t="str">
        <x:v>7.0</x:v>
      </x:c>
      <x:c r="B8" s="22" t="str">
        <x:v>Controls / Low Voltage / Security</x:v>
      </x:c>
      <x:c r="C8" s="30" t="n">
        <x:v>10000000</x:v>
      </x:c>
      <x:c r="D8" s="34" t="n">
        <x:v>0.15</x:v>
      </x:c>
      <x:c r="E8" s="34" t="n">
        <x:v>0.12</x:v>
      </x:c>
      <x:c r="F8" s="30" t="n">
        <x:v>1500000</x:v>
      </x:c>
      <x:c r="G8" s="30" t="n">
        <x:f>C8*D8</x:f>
        <x:v>1500000</x:v>
      </x:c>
      <x:c r="H8" s="30" t="n">
        <x:f>C8*E8</x:f>
        <x:v>1200000</x:v>
      </x:c>
      <x:c r="I8" s="30" t="n">
        <x:f>F8</x:f>
        <x:v>1500000</x:v>
      </x:c>
      <x:c r="J8" s="30" t="n">
        <x:f>H8-I8</x:f>
        <x:v>-300000</x:v>
      </x:c>
      <x:c r="K8" s="30" t="n">
        <x:f>H8-G8</x:f>
        <x:v>-300000</x:v>
      </x:c>
      <x:c r="L8" s="36" t="n">
        <x:f>IF(I8=0,1,H8/I8)</x:f>
        <x:v>0.8</x:v>
      </x:c>
      <x:c r="M8" s="36" t="n">
        <x:f>IF(G8=0,1,H8/G8)</x:f>
        <x:v>0.8</x:v>
      </x:c>
      <x:c r="N8" s="30" t="n">
        <x:f>IF(L8=0,C8,C8/L8)</x:f>
        <x:v>12500000</x:v>
      </x:c>
      <x:c r="O8" s="30" t="n">
        <x:f>N8-I8</x:f>
        <x:v>11000000</x:v>
      </x:c>
      <x:c r="P8" s="30" t="n">
        <x:f>C8-N8</x:f>
        <x:v>-2500000</x:v>
      </x:c>
      <x:c r="Q8" s="22" t="str">
        <x:v>Watch</x:v>
      </x:c>
      <x:c r="R8" s="22" t="str">
        <x:v>Dependent on electrical room release and device procurement</x:v>
      </x:c>
    </x:row>
    <x:row r="9">
      <x:c r="A9" s="22" t="str">
        <x:v>8.0</x:v>
      </x:c>
      <x:c r="B9" s="22" t="str">
        <x:v>Commissioning &amp; Turnover</x:v>
      </x:c>
      <x:c r="C9" s="30" t="n">
        <x:v>8000000</x:v>
      </x:c>
      <x:c r="D9" s="34" t="n">
        <x:v>0</x:v>
      </x:c>
      <x:c r="E9" s="34" t="n">
        <x:v>0</x:v>
      </x:c>
      <x:c r="F9" s="30" t="n">
        <x:v>0</x:v>
      </x:c>
      <x:c r="G9" s="30" t="n">
        <x:f>C9*D9</x:f>
        <x:v>0</x:v>
      </x:c>
      <x:c r="H9" s="30" t="n">
        <x:f>C9*E9</x:f>
        <x:v>0</x:v>
      </x:c>
      <x:c r="I9" s="30" t="n">
        <x:f>F9</x:f>
        <x:v>0</x:v>
      </x:c>
      <x:c r="J9" s="30" t="n">
        <x:f>H9-I9</x:f>
        <x:v>0</x:v>
      </x:c>
      <x:c r="K9" s="30" t="n">
        <x:f>H9-G9</x:f>
        <x:v>0</x:v>
      </x:c>
      <x:c r="L9" s="36" t="n">
        <x:f>IF(I9=0,1,H9/I9)</x:f>
        <x:v>1</x:v>
      </x:c>
      <x:c r="M9" s="36" t="n">
        <x:f>IF(G9=0,1,H9/G9)</x:f>
        <x:v>1</x:v>
      </x:c>
      <x:c r="N9" s="30" t="n">
        <x:f>IF(L9=0,C9,C9/L9)</x:f>
        <x:v>8000000</x:v>
      </x:c>
      <x:c r="O9" s="30" t="n">
        <x:f>N9-I9</x:f>
        <x:v>8000000</x:v>
      </x:c>
      <x:c r="P9" s="30" t="n">
        <x:f>C9-N9</x:f>
        <x:v>0</x:v>
      </x:c>
      <x:c r="Q9" s="22" t="str">
        <x:v>Not Started</x:v>
      </x:c>
      <x:c r="R9" s="22" t="str">
        <x:v>Future phase; no earned value yet</x:v>
      </x:c>
    </x:row>
    <x:row r="10">
      <x:c r="A10" s="22"/>
      <x:c r="B10" s="22"/>
      <x:c r="C10" s="30"/>
      <x:c r="D10" s="22"/>
      <x:c r="E10" s="22"/>
      <x:c r="F10" s="30"/>
      <x:c r="G10" s="30"/>
      <x:c r="H10" s="30"/>
      <x:c r="I10" s="30"/>
      <x:c r="J10" s="30"/>
      <x:c r="K10" s="30"/>
      <x:c r="L10" s="36"/>
      <x:c r="M10" s="36"/>
      <x:c r="N10" s="30"/>
      <x:c r="O10" s="30"/>
      <x:c r="P10" s="30"/>
      <x:c r="Q10" s="22"/>
      <x:c r="R10" s="22"/>
    </x:row>
    <x:row r="11">
      <x:c r="A11" s="28" t="str">
        <x:v>PROJECT TOTALS</x:v>
      </x:c>
      <x:c r="B11" s="28"/>
      <x:c r="C11" s="31"/>
      <x:c r="D11" s="28"/>
      <x:c r="E11" s="28"/>
      <x:c r="F11" s="31"/>
      <x:c r="G11" s="31"/>
      <x:c r="H11" s="31"/>
      <x:c r="I11" s="31"/>
      <x:c r="J11" s="31"/>
      <x:c r="K11" s="31"/>
      <x:c r="L11" s="37"/>
      <x:c r="M11" s="37"/>
      <x:c r="N11" s="31"/>
      <x:c r="O11" s="31"/>
      <x:c r="P11" s="31"/>
      <x:c r="Q11" s="28"/>
      <x:c r="R11" s="28"/>
    </x:row>
    <x:row r="12">
      <x:c r="A12" s="28" t="str">
        <x:v>TOTAL</x:v>
      </x:c>
      <x:c r="B12" s="28"/>
      <x:c r="C12" s="31" t="n">
        <x:f>SUM(C2:C9)</x:f>
        <x:v>182000000</x:v>
      </x:c>
      <x:c r="D12" s="28"/>
      <x:c r="E12" s="28"/>
      <x:c r="F12" s="31" t="n">
        <x:f>SUM(F2:F9)</x:f>
        <x:v>96900000</x:v>
      </x:c>
      <x:c r="G12" s="31" t="n">
        <x:f>SUM(G2:G9)</x:f>
        <x:v>100340000</x:v>
      </x:c>
      <x:c r="H12" s="31" t="n">
        <x:f>SUM(H2:H9)</x:f>
        <x:v>91640000</x:v>
      </x:c>
      <x:c r="I12" s="31" t="n">
        <x:f>SUM(I2:I9)</x:f>
        <x:v>96900000</x:v>
      </x:c>
      <x:c r="J12" s="31" t="n">
        <x:f>SUM(J2:J9)</x:f>
        <x:v>-5260000</x:v>
      </x:c>
      <x:c r="K12" s="31" t="n">
        <x:f>SUM(K2:K9)</x:f>
        <x:v>-8700000</x:v>
      </x:c>
      <x:c r="L12" s="37" t="n">
        <x:f>H12/I12</x:f>
        <x:v>0.945717234262126</x:v>
      </x:c>
      <x:c r="M12" s="37" t="n">
        <x:f>H12/G12</x:f>
        <x:v>0.9132947976878613</x:v>
      </x:c>
      <x:c r="N12" s="31" t="n">
        <x:f>SUM(N2:N9)</x:f>
        <x:v>198716317.016317</x:v>
      </x:c>
      <x:c r="O12" s="31" t="n">
        <x:f>SUM(O2:O9)</x:f>
        <x:v>101816317.01631701</x:v>
      </x:c>
      <x:c r="P12" s="31" t="n">
        <x:f>SUM(P2:P9)</x:f>
        <x:v>-16716317.016317014</x:v>
      </x:c>
      <x:c r="Q12" s="28" t="str">
        <x:v>Needs corrective action</x:v>
      </x:c>
      <x:c r="R12" s="28" t="str">
        <x:v>Cost and schedule pressure concentrated in Electrical and Mechanical</x:v>
      </x:c>
    </x:row>
  </x:sheetData>
  <x:mergeCells>
    <x:mergeCell ref="A11:R11"/>
  </x:mergeCells>
  <x:conditionalFormatting sqref="J2:K12">
    <x:cfRule type="expression" dxfId="0" priority="1">
      <x:formula>J2&lt;0</x:formula>
    </x:cfRule>
  </x:conditionalFormatting>
  <x:conditionalFormatting sqref="L2:M1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8" t="str">
        <x:v>Month</x:v>
      </x:c>
      <x:c r="B1" s="18" t="str">
        <x:v>Cumulative Planned %</x:v>
      </x:c>
      <x:c r="C1" s="18" t="str">
        <x:v>Cumulative Earned %</x:v>
      </x:c>
      <x:c r="D1" s="18" t="str">
        <x:v>Cumulative Actual Cost %</x:v>
      </x:c>
      <x:c r="E1" s="18" t="str">
        <x:v>PV</x:v>
      </x:c>
      <x:c r="F1" s="18" t="str">
        <x:v>EV</x:v>
      </x:c>
      <x:c r="G1" s="18" t="str">
        <x:v>AC</x:v>
      </x:c>
    </x:row>
    <x:row r="2">
      <x:c r="A2" t="n">
        <x:v>1</x:v>
      </x:c>
      <x:c r="B2" s="40" t="n">
        <x:v>0.03</x:v>
      </x:c>
      <x:c r="C2" s="40" t="n">
        <x:v>0.03</x:v>
      </x:c>
      <x:c r="D2" s="40" t="n">
        <x:v>0.029</x:v>
      </x:c>
      <x:c r="E2" s="42" t="n">
        <x:f>B2*182000000</x:f>
        <x:v>5460000</x:v>
      </x:c>
      <x:c r="F2" s="42" t="n">
        <x:f>C2*182000000</x:f>
        <x:v>5460000</x:v>
      </x:c>
      <x:c r="G2" s="42" t="n">
        <x:f>D2*182000000</x:f>
        <x:v>5278000</x:v>
      </x:c>
    </x:row>
    <x:row r="3">
      <x:c r="A3" t="n">
        <x:v>2</x:v>
      </x:c>
      <x:c r="B3" s="40" t="n">
        <x:v>0.07</x:v>
      </x:c>
      <x:c r="C3" s="40" t="n">
        <x:v>0.068</x:v>
      </x:c>
      <x:c r="D3" s="40" t="n">
        <x:v>0.067</x:v>
      </x:c>
      <x:c r="E3" s="42" t="n">
        <x:f>B3*182000000</x:f>
        <x:v>12740000.000000002</x:v>
      </x:c>
      <x:c r="F3" s="42" t="n">
        <x:f>C3*182000000</x:f>
        <x:v>12376000</x:v>
      </x:c>
      <x:c r="G3" s="42" t="n">
        <x:f>D3*182000000</x:f>
        <x:v>12194000</x:v>
      </x:c>
    </x:row>
    <x:row r="4">
      <x:c r="A4" t="n">
        <x:v>3</x:v>
      </x:c>
      <x:c r="B4" s="40" t="n">
        <x:v>0.12</x:v>
      </x:c>
      <x:c r="C4" s="40" t="n">
        <x:v>0.115</x:v>
      </x:c>
      <x:c r="D4" s="40" t="n">
        <x:v>0.116</x:v>
      </x:c>
      <x:c r="E4" s="42" t="n">
        <x:f>B4*182000000</x:f>
        <x:v>21840000</x:v>
      </x:c>
      <x:c r="F4" s="42" t="n">
        <x:f>C4*182000000</x:f>
        <x:v>20930000</x:v>
      </x:c>
      <x:c r="G4" s="42" t="n">
        <x:f>D4*182000000</x:f>
        <x:v>21112000</x:v>
      </x:c>
    </x:row>
    <x:row r="5">
      <x:c r="A5" t="n">
        <x:v>4</x:v>
      </x:c>
      <x:c r="B5" s="40" t="n">
        <x:v>0.18</x:v>
      </x:c>
      <x:c r="C5" s="40" t="n">
        <x:v>0.172</x:v>
      </x:c>
      <x:c r="D5" s="40" t="n">
        <x:v>0.175</x:v>
      </x:c>
      <x:c r="E5" s="42" t="n">
        <x:f>B5*182000000</x:f>
        <x:v>32760000</x:v>
      </x:c>
      <x:c r="F5" s="42" t="n">
        <x:f>C5*182000000</x:f>
        <x:v>31303999.999999996</x:v>
      </x:c>
      <x:c r="G5" s="42" t="n">
        <x:f>D5*182000000</x:f>
        <x:v>31849999.999999996</x:v>
      </x:c>
    </x:row>
    <x:row r="6">
      <x:c r="A6" t="n">
        <x:v>5</x:v>
      </x:c>
      <x:c r="B6" s="40" t="n">
        <x:v>0.25</x:v>
      </x:c>
      <x:c r="C6" s="40" t="n">
        <x:v>0.238</x:v>
      </x:c>
      <x:c r="D6" s="40" t="n">
        <x:v>0.244</x:v>
      </x:c>
      <x:c r="E6" s="42" t="n">
        <x:f>B6*182000000</x:f>
        <x:v>45500000</x:v>
      </x:c>
      <x:c r="F6" s="42" t="n">
        <x:f>C6*182000000</x:f>
        <x:v>43316000</x:v>
      </x:c>
      <x:c r="G6" s="42" t="n">
        <x:f>D6*182000000</x:f>
        <x:v>44408000</x:v>
      </x:c>
    </x:row>
    <x:row r="7">
      <x:c r="A7" t="n">
        <x:v>6</x:v>
      </x:c>
      <x:c r="B7" s="40" t="n">
        <x:v>0.33</x:v>
      </x:c>
      <x:c r="C7" s="40" t="n">
        <x:v>0.305</x:v>
      </x:c>
      <x:c r="D7" s="40" t="n">
        <x:v>0.316</x:v>
      </x:c>
      <x:c r="E7" s="42" t="n">
        <x:f>B7*182000000</x:f>
        <x:v>60060000</x:v>
      </x:c>
      <x:c r="F7" s="42" t="n">
        <x:f>C7*182000000</x:f>
        <x:v>55510000</x:v>
      </x:c>
      <x:c r="G7" s="42" t="n">
        <x:f>D7*182000000</x:f>
        <x:v>57512000</x:v>
      </x:c>
    </x:row>
    <x:row r="8">
      <x:c r="A8" t="n">
        <x:v>7</x:v>
      </x:c>
      <x:c r="B8" s="40" t="n">
        <x:v>0.41</x:v>
      </x:c>
      <x:c r="C8" s="40" t="n">
        <x:v>0.365</x:v>
      </x:c>
      <x:c r="D8" s="40" t="n">
        <x:v>0.381</x:v>
      </x:c>
      <x:c r="E8" s="42" t="n">
        <x:f>B8*182000000</x:f>
        <x:v>74620000</x:v>
      </x:c>
      <x:c r="F8" s="42" t="n">
        <x:f>C8*182000000</x:f>
        <x:v>66430000</x:v>
      </x:c>
      <x:c r="G8" s="42" t="n">
        <x:f>D8*182000000</x:f>
        <x:v>69342000</x:v>
      </x:c>
    </x:row>
    <x:row r="9">
      <x:c r="A9" t="n">
        <x:v>8</x:v>
      </x:c>
      <x:c r="B9" s="40" t="n">
        <x:v>0.48</x:v>
      </x:c>
      <x:c r="C9" s="40" t="n">
        <x:v>0.415</x:v>
      </x:c>
      <x:c r="D9" s="40" t="n">
        <x:v>0.435</x:v>
      </x:c>
      <x:c r="E9" s="42" t="n">
        <x:f>B9*182000000</x:f>
        <x:v>87360000</x:v>
      </x:c>
      <x:c r="F9" s="42" t="n">
        <x:f>C9*182000000</x:f>
        <x:v>75530000</x:v>
      </x:c>
      <x:c r="G9" s="42" t="n">
        <x:f>D9*182000000</x:f>
        <x:v>79170000</x:v>
      </x:c>
    </x:row>
    <x:row r="10">
      <x:c r="A10" t="n">
        <x:v>9</x:v>
      </x:c>
      <x:c r="B10" s="40" t="n">
        <x:v>0.52</x:v>
      </x:c>
      <x:c r="C10" s="40" t="n">
        <x:v>0.465</x:v>
      </x:c>
      <x:c r="D10" s="40" t="n">
        <x:v>0.485</x:v>
      </x:c>
      <x:c r="E10" s="42" t="n">
        <x:f>B10*182000000</x:f>
        <x:v>94640000</x:v>
      </x:c>
      <x:c r="F10" s="42" t="n">
        <x:f>C10*182000000</x:f>
        <x:v>84630000</x:v>
      </x:c>
      <x:c r="G10" s="42" t="n">
        <x:f>D10*182000000</x:f>
        <x:v>88270000</x:v>
      </x:c>
    </x:row>
    <x:row r="11">
      <x:c r="A11" t="n">
        <x:v>10</x:v>
      </x:c>
      <x:c r="B11" s="40" t="n">
        <x:v>0.5513186813186813</x:v>
      </x:c>
      <x:c r="C11" s="40" t="n">
        <x:v>0.5035164835164835</x:v>
      </x:c>
      <x:c r="D11" s="40" t="n">
        <x:v>0.5324175824175824</x:v>
      </x:c>
      <x:c r="E11" s="42" t="n">
        <x:f>B11*182000000</x:f>
        <x:v>100340000</x:v>
      </x:c>
      <x:c r="F11" s="42" t="n">
        <x:f>C11*182000000</x:f>
        <x:v>91640000</x:v>
      </x:c>
      <x:c r="G11" s="42" t="n">
        <x:f>D11*182000000</x:f>
        <x:v>96900000</x:v>
      </x:c>
    </x:row>
  </x:sheetData>
  <x:pageMargins left="0.7" right="0.7" top="0.75" bottom="0.75" header="0.3" footer="0.3"/>
  <x:drawing xmlns:r="http://schemas.openxmlformats.org/officeDocument/2006/relationships" r:id="R0636a8fdfa4047c6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4" max="4" width="30" hidden="0" customWidth="1"/>
    <x:col min="5" max="5" width="42" hidden="0" customWidth="1"/>
  </x:cols>
  <x:sheetData>
    <x:row r="1">
      <x:c r="A1" s="48" t="str">
        <x:v>Project Scenario &amp; EVM Data Dictionary</x:v>
      </x:c>
      <x:c r="B1" s="48"/>
      <x:c r="C1" s="48"/>
      <x:c r="D1" s="48"/>
      <x:c r="E1" s="22"/>
    </x:row>
    <x:row r="2">
      <x:c r="A2" s="22"/>
      <x:c r="B2" s="22"/>
      <x:c r="C2" s="22"/>
      <x:c r="D2" s="22"/>
      <x:c r="E2" s="22"/>
    </x:row>
    <x:row r="3">
      <x:c r="A3" s="49" t="str">
        <x:v>Item</x:v>
      </x:c>
      <x:c r="B3" s="49" t="str">
        <x:v>Assumption / Definition</x:v>
      </x:c>
      <x:c r="C3" s="22"/>
      <x:c r="D3" s="49" t="str">
        <x:v>Forecast Formula</x:v>
      </x:c>
      <x:c r="E3" s="49" t="str">
        <x:v>Definition</x:v>
      </x:c>
    </x:row>
    <x:row r="4">
      <x:c r="A4" s="22" t="str">
        <x:v>Project</x:v>
      </x:c>
      <x:c r="B4" s="22" t="str">
        <x:v>Fictional $200M hyperscale data center</x:v>
      </x:c>
      <x:c r="C4" s="22"/>
      <x:c r="D4" s="22" t="str">
        <x:v>CV = EV - AC</x:v>
      </x:c>
      <x:c r="E4" s="22" t="str">
        <x:v>Negative = over cost</x:v>
      </x:c>
    </x:row>
    <x:row r="5">
      <x:c r="A5" s="22" t="str">
        <x:v>Project Authorization</x:v>
      </x:c>
      <x:c r="B5" s="22" t="str">
        <x:v>$200M total authorized funding</x:v>
      </x:c>
      <x:c r="C5" s="22"/>
      <x:c r="D5" s="22" t="str">
        <x:v>SV = EV - PV</x:v>
      </x:c>
      <x:c r="E5" s="22" t="str">
        <x:v>Negative = behind schedule</x:v>
      </x:c>
    </x:row>
    <x:row r="6">
      <x:c r="A6" s="22" t="str">
        <x:v>BAC / PMB</x:v>
      </x:c>
      <x:c r="B6" s="22" t="str">
        <x:v>$182M; management reserve excluded from EVM baseline</x:v>
      </x:c>
      <x:c r="C6" s="22"/>
      <x:c r="D6" s="22" t="str">
        <x:v>EAC = BAC / CPI</x:v>
      </x:c>
      <x:c r="E6" s="22" t="str">
        <x:v>Assumes current cost efficiency continues</x:v>
      </x:c>
    </x:row>
    <x:row r="7">
      <x:c r="A7" s="22" t="str">
        <x:v>Management Reserve</x:v>
      </x:c>
      <x:c r="B7" s="22" t="str">
        <x:v>$18M; held outside the performance measurement baseline</x:v>
      </x:c>
      <x:c r="C7" s="22"/>
      <x:c r="D7" s="22" t="str">
        <x:v>ETC = EAC - AC</x:v>
      </x:c>
      <x:c r="E7" s="22" t="str">
        <x:v>Forecast remaining spend</x:v>
      </x:c>
    </x:row>
    <x:row r="8">
      <x:c r="A8" s="22" t="str">
        <x:v>Status Date</x:v>
      </x:c>
      <x:c r="B8" s="22" t="str">
        <x:v>End of Month 10 of a 24-month baseline</x:v>
      </x:c>
      <x:c r="C8" s="22"/>
      <x:c r="D8" s="22" t="str">
        <x:v>VAC = BAC - EAC</x:v>
      </x:c>
      <x:c r="E8" s="22" t="str">
        <x:v>Negative = projected overrun</x:v>
      </x:c>
    </x:row>
    <x:row r="9">
      <x:c r="A9" s="22" t="str">
        <x:v>PV</x:v>
      </x:c>
      <x:c r="B9" s="22" t="str">
        <x:v>Budgeted cost of work scheduled</x:v>
      </x:c>
      <x:c r="C9" s="22"/>
      <x:c r="D9" s="22" t="str">
        <x:v>TCPI = (BAC-EV)/(BAC-AC)</x:v>
      </x:c>
      <x:c r="E9" s="22" t="str">
        <x:v>Efficiency needed on remaining work to still hit BAC</x:v>
      </x:c>
    </x:row>
    <x:row r="10">
      <x:c r="A10" s="22" t="str">
        <x:v>EV</x:v>
      </x:c>
      <x:c r="B10" s="22" t="str">
        <x:v>Budgeted cost of work performed</x:v>
      </x:c>
      <x:c r="C10" s="22"/>
      <x:c r="D10" s="22"/>
      <x:c r="E10" s="22"/>
    </x:row>
    <x:row r="11">
      <x:c r="A11" s="22" t="str">
        <x:v>AC</x:v>
      </x:c>
      <x:c r="B11" s="22" t="str">
        <x:v>Actual cost of work performed</x:v>
      </x:c>
      <x:c r="C11" s="22"/>
      <x:c r="D11" s="22"/>
      <x:c r="E11" s="22"/>
    </x:row>
    <x:row r="12">
      <x:c r="A12" s="22" t="str">
        <x:v>CPI</x:v>
      </x:c>
      <x:c r="B12" s="22" t="str">
        <x:v>EV / AC; below 1.00 indicates cost inefficiency</x:v>
      </x:c>
      <x:c r="C12" s="22"/>
      <x:c r="D12" s="22"/>
      <x:c r="E12" s="22"/>
    </x:row>
    <x:row r="13">
      <x:c r="A13" s="22" t="str">
        <x:v>SPI</x:v>
      </x:c>
      <x:c r="B13" s="22" t="str">
        <x:v>EV / PV; below 1.00 indicates schedule slippage</x:v>
      </x:c>
      <x:c r="C13" s="22"/>
      <x:c r="D13" s="22"/>
      <x:c r="E13" s="22"/>
    </x:row>
  </x:sheetData>
  <x:mergeCells>
    <x:mergeCell ref="A1:D1"/>
  </x:mergeCells>
  <x:pageMargins left="0.7" right="0.7" top="0.75" bottom="0.75" header="0.3" footer="0.3"/>
</x:worksheet>
</file>