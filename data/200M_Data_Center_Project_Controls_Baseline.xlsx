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843bf5e32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etup" sheetId="1" r:id="R7d335511b7734784"/>
    <x:sheet xmlns:r="http://schemas.openxmlformats.org/officeDocument/2006/relationships" name="WBS Budget" sheetId="2" r:id="R7c0e16263514454b"/>
    <x:sheet xmlns:r="http://schemas.openxmlformats.org/officeDocument/2006/relationships" name="Monthly Baseline" sheetId="3" r:id="Raa1d57bf93614b84"/>
    <x:sheet xmlns:r="http://schemas.openxmlformats.org/officeDocument/2006/relationships" name="Data Dictionary" sheetId="4" r:id="R9ecd82974e41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$#,##0"/>
    <x:numFmt numFmtId="202" formatCode="0.00%"/>
    <x:numFmt numFmtId="203" formatCode="mmm-yy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2" fillId="5" borderId="0" xfId="0" applyNumberFormat="1" applyFont="1" applyFill="1" applyBorder="1"/>
    <x:xf numFmtId="202" fontId="2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2" fillId="5" borderId="1" xfId="0" applyNumberFormat="1" applyFont="1" applyFill="1" applyBorder="1"/>
    <x:xf numFmtId="201" fontId="2" fillId="5" borderId="1" xfId="0" applyNumberFormat="1" applyFont="1" applyFill="1" applyBorder="1"/>
    <x:xf numFmtId="202" fontId="2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202" fontId="2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1" fontId="2" fillId="5" borderId="1" xfId="0" applyNumberFormat="1" applyFont="1" applyFill="1" applyBorder="1" applyAlignment="1">
      <x:alignment wrapText="1"/>
    </x:xf>
    <x:xf numFmtId="202" fontId="2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7ccadbc674277" /><Relationship Type="http://schemas.openxmlformats.org/officeDocument/2006/relationships/theme" Target="/xl/theme/theme1.xml" Id="R99f543163ee548b1" /><Relationship Type="http://schemas.openxmlformats.org/officeDocument/2006/relationships/sharedStrings" Target="/xl/sharedStrings.xml" Id="R275c9037d38a464d" /><Relationship Type="http://schemas.openxmlformats.org/officeDocument/2006/relationships/worksheet" Target="/xl/worksheets/sheet1.xml" Id="R7d335511b7734784" /><Relationship Type="http://schemas.openxmlformats.org/officeDocument/2006/relationships/worksheet" Target="/xl/worksheets/sheet2.xml" Id="R7c0e16263514454b" /><Relationship Type="http://schemas.openxmlformats.org/officeDocument/2006/relationships/worksheet" Target="/xl/worksheets/sheet3.xml" Id="Raa1d57bf93614b84" /><Relationship Type="http://schemas.openxmlformats.org/officeDocument/2006/relationships/worksheet" Target="/xl/worksheets/sheet4.xml" Id="R9ecd82974e414c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21218c9ba240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Planned Value S-Curve</a:t>
            </a:r>
          </a:p>
        </c:rich>
      </c:tx>
    </c:title>
    <c:plotArea>
      <c:lineChart>
        <c:grouping val="standard"/>
        <c:ser>
          <c:idx val="0"/>
          <c:order val="0"/>
          <c:tx>
            <c:v>Monthly Planned Value (PV)</c:v>
          </c:tx>
          <c:marker>
            <c:symbol val="none"/>
          </c:marker>
          <c:cat>
            <c:strRef>
              <c:f>'Monthly Baseline'!$A$2:$A$25</c:f>
              <c:strCache>
                <c:ptCount val="0"/>
              </c:strCache>
            </c:strRef>
          </c:cat>
          <c:val>
            <c:numRef>
              <c:f>'Monthly Baseline'!$B$2:$B$25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Cumulative PV</c:v>
          </c:tx>
          <c:marker>
            <c:symbol val="none"/>
          </c:marker>
          <c:cat>
            <c:strRef>
              <c:f>'Monthly Baseline'!$A$2:$A$25</c:f>
              <c:strCache>
                <c:ptCount val="0"/>
              </c:strCache>
            </c:strRef>
          </c:cat>
          <c:val>
            <c:numRef>
              <c:f>'Monthly Baseline'!$C$2:$C$25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21218c9ba240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9becab7e958409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5" t="str">
        <x:v>$200M Data Center Project Controls Portfolio</x:v>
      </x:c>
      <x:c r="B1" s="5"/>
    </x:row>
    <x:row r="2">
      <x:c r="A2" s="11" t="str">
        <x:v>Project Name</x:v>
      </x:c>
      <x:c r="B2" t="str">
        <x:v>ATL Hyperscale Data Center - Phase 1</x:v>
      </x:c>
    </x:row>
    <x:row r="3">
      <x:c r="A3" s="11" t="str">
        <x:v>Project Type</x:v>
      </x:c>
      <x:c r="B3" t="str">
        <x:v>Mission-Critical Data Center</x:v>
      </x:c>
    </x:row>
    <x:row r="4">
      <x:c r="A4" s="11" t="str">
        <x:v>Location</x:v>
      </x:c>
      <x:c r="B4" t="str">
        <x:v>Atlanta, Georgia (Fictional Portfolio Project)</x:v>
      </x:c>
    </x:row>
    <x:row r="5">
      <x:c r="A5" s="11" t="str">
        <x:v>Baseline Start</x:v>
      </x:c>
      <x:c r="B5" s="14" t="n">
        <x:v>46388</x:v>
      </x:c>
    </x:row>
    <x:row r="6">
      <x:c r="A6" s="11" t="str">
        <x:v>Baseline Finish</x:v>
      </x:c>
      <x:c r="B6" s="14" t="n">
        <x:v>47118</x:v>
      </x:c>
    </x:row>
    <x:row r="7">
      <x:c r="A7" s="11" t="str">
        <x:v>Total Project Budget</x:v>
      </x:c>
      <x:c r="B7" s="16" t="n">
        <x:v>200000000</x:v>
      </x:c>
    </x:row>
    <x:row r="8">
      <x:c r="A8" s="11" t="str">
        <x:v>Budget at Completion (BAC) / PMB</x:v>
      </x:c>
      <x:c r="B8" s="16" t="n">
        <x:v>182000000</x:v>
      </x:c>
    </x:row>
    <x:row r="9">
      <x:c r="A9" s="11" t="str">
        <x:v>Management Reserve</x:v>
      </x:c>
      <x:c r="B9" s="16" t="n">
        <x:v>18000000</x:v>
      </x:c>
    </x:row>
    <x:row r="10">
      <x:c r="A10" s="11" t="str">
        <x:v>Currency</x:v>
      </x:c>
      <x:c r="B10" t="str">
        <x:v>USD</x:v>
      </x:c>
    </x:row>
    <x:row r="11">
      <x:c r="A11" s="11" t="str">
        <x:v>Purpose</x:v>
      </x:c>
      <x:c r="B11" t="str">
        <x:v>Portfolio demonstration of project controls, EVM, forecasting, and schedule analytics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22" hidden="0" customWidth="1"/>
    <x:col min="9" max="9" width="11" hidden="0" customWidth="1"/>
    <x:col min="10" max="10" width="14" hidden="0" customWidth="1"/>
  </x:cols>
  <x:sheetData>
    <x:row r="1">
      <x:c r="A1" s="22" t="str">
        <x:v>WBS</x:v>
      </x:c>
      <x:c r="B1" s="22" t="str">
        <x:v>Phase</x:v>
      </x:c>
      <x:c r="C1" s="22" t="str">
        <x:v>Work Package</x:v>
      </x:c>
      <x:c r="D1" s="22" t="str">
        <x:v>Baseline Budget</x:v>
      </x:c>
      <x:c r="E1" s="22" t="str">
        <x:v>Planned Start</x:v>
      </x:c>
      <x:c r="F1" s="22" t="str">
        <x:v>Planned Finish</x:v>
      </x:c>
      <x:c r="G1" s="22" t="str">
        <x:v>Cost Type</x:v>
      </x:c>
      <x:c r="H1" s="22" t="str">
        <x:v>Control Account Owner</x:v>
      </x:c>
      <x:c r="I1" s="22" t="str">
        <x:v>Weight %</x:v>
      </x:c>
      <x:c r="J1" s="22" t="str">
        <x:v>Duration (Days)</x:v>
      </x:c>
    </x:row>
    <x:row r="2">
      <x:c r="A2" s="42" t="str">
        <x:v>1.1</x:v>
      </x:c>
      <x:c r="B2" s="42" t="str">
        <x:v>Preconstruction &amp; General Conditions</x:v>
      </x:c>
      <x:c r="C2" s="42" t="str">
        <x:v>Design Management</x:v>
      </x:c>
      <x:c r="D2" s="43" t="n">
        <x:v>2500000</x:v>
      </x:c>
      <x:c r="E2" s="44" t="n">
        <x:v>46388</x:v>
      </x:c>
      <x:c r="F2" s="44" t="n">
        <x:v>46568</x:v>
      </x:c>
      <x:c r="G2" s="42" t="str">
        <x:v>Indirect</x:v>
      </x:c>
      <x:c r="H2" s="42" t="str">
        <x:v>Project Controls</x:v>
      </x:c>
      <x:c r="I2" s="45" t="n">
        <x:f>D2/$D$38</x:f>
        <x:v>0.0125</x:v>
      </x:c>
      <x:c r="J2" s="42" t="n">
        <x:f>F2-E2+1</x:f>
        <x:v>181</x:v>
      </x:c>
    </x:row>
    <x:row r="3">
      <x:c r="A3" s="42" t="str">
        <x:v>1.2</x:v>
      </x:c>
      <x:c r="B3" s="42" t="str">
        <x:v>Preconstruction &amp; General Conditions</x:v>
      </x:c>
      <x:c r="C3" s="42" t="str">
        <x:v>Permits / AHJ / Utility Coordination</x:v>
      </x:c>
      <x:c r="D3" s="43" t="n">
        <x:v>1500000</x:v>
      </x:c>
      <x:c r="E3" s="44" t="n">
        <x:v>46388</x:v>
      </x:c>
      <x:c r="F3" s="44" t="n">
        <x:v>46630</x:v>
      </x:c>
      <x:c r="G3" s="42" t="str">
        <x:v>Indirect</x:v>
      </x:c>
      <x:c r="H3" s="42" t="str">
        <x:v>Project Management</x:v>
      </x:c>
      <x:c r="I3" s="45" t="n">
        <x:f>D3/$D$38</x:f>
        <x:v>0.0075</x:v>
      </x:c>
      <x:c r="J3" s="42" t="n">
        <x:f>F3-E3+1</x:f>
        <x:v>243</x:v>
      </x:c>
    </x:row>
    <x:row r="4">
      <x:c r="A4" s="42" t="str">
        <x:v>1.3</x:v>
      </x:c>
      <x:c r="B4" s="42" t="str">
        <x:v>Preconstruction &amp; General Conditions</x:v>
      </x:c>
      <x:c r="C4" s="42" t="str">
        <x:v>Site Management / Temporary Facilities</x:v>
      </x:c>
      <x:c r="D4" s="43" t="n">
        <x:v>5000000</x:v>
      </x:c>
      <x:c r="E4" s="44" t="n">
        <x:v>46388</x:v>
      </x:c>
      <x:c r="F4" s="44" t="n">
        <x:v>47057</x:v>
      </x:c>
      <x:c r="G4" s="42" t="str">
        <x:v>Indirect</x:v>
      </x:c>
      <x:c r="H4" s="42" t="str">
        <x:v>Field Operations</x:v>
      </x:c>
      <x:c r="I4" s="45" t="n">
        <x:f>D4/$D$38</x:f>
        <x:v>0.025</x:v>
      </x:c>
      <x:c r="J4" s="42" t="n">
        <x:f>F4-E4+1</x:f>
        <x:v>670</x:v>
      </x:c>
    </x:row>
    <x:row r="5">
      <x:c r="A5" s="42" t="str">
        <x:v>1.4</x:v>
      </x:c>
      <x:c r="B5" s="42" t="str">
        <x:v>Preconstruction &amp; General Conditions</x:v>
      </x:c>
      <x:c r="C5" s="42" t="str">
        <x:v>Project Controls / QA-QC / Safety</x:v>
      </x:c>
      <x:c r="D5" s="43" t="n">
        <x:v>3000000</x:v>
      </x:c>
      <x:c r="E5" s="44" t="n">
        <x:v>46388</x:v>
      </x:c>
      <x:c r="F5" s="44" t="n">
        <x:v>47118</x:v>
      </x:c>
      <x:c r="G5" s="42" t="str">
        <x:v>Indirect</x:v>
      </x:c>
      <x:c r="H5" s="42" t="str">
        <x:v>Project Controls</x:v>
      </x:c>
      <x:c r="I5" s="45" t="n">
        <x:f>D5/$D$38</x:f>
        <x:v>0.015</x:v>
      </x:c>
      <x:c r="J5" s="42" t="n">
        <x:f>F5-E5+1</x:f>
        <x:v>731</x:v>
      </x:c>
    </x:row>
    <x:row r="6">
      <x:c r="A6" s="42" t="str">
        <x:v>2.1</x:v>
      </x:c>
      <x:c r="B6" s="42" t="str">
        <x:v>Sitework &amp; Civil</x:v>
      </x:c>
      <x:c r="C6" s="42" t="str">
        <x:v>Clearing / Grading / Earthwork</x:v>
      </x:c>
      <x:c r="D6" s="43" t="n">
        <x:v>4000000</x:v>
      </x:c>
      <x:c r="E6" s="44" t="n">
        <x:v>46419</x:v>
      </x:c>
      <x:c r="F6" s="44" t="n">
        <x:v>46568</x:v>
      </x:c>
      <x:c r="G6" s="42" t="str">
        <x:v>Direct</x:v>
      </x:c>
      <x:c r="H6" s="42" t="str">
        <x:v>Civil</x:v>
      </x:c>
      <x:c r="I6" s="45" t="n">
        <x:f>D6/$D$38</x:f>
        <x:v>0.02</x:v>
      </x:c>
      <x:c r="J6" s="42" t="n">
        <x:f>F6-E6+1</x:f>
        <x:v>150</x:v>
      </x:c>
    </x:row>
    <x:row r="7">
      <x:c r="A7" s="42" t="str">
        <x:v>2.2</x:v>
      </x:c>
      <x:c r="B7" s="42" t="str">
        <x:v>Sitework &amp; Civil</x:v>
      </x:c>
      <x:c r="C7" s="42" t="str">
        <x:v>Storm / Sanitary / Domestic Water</x:v>
      </x:c>
      <x:c r="D7" s="43" t="n">
        <x:v>4000000</x:v>
      </x:c>
      <x:c r="E7" s="44" t="n">
        <x:v>46447</x:v>
      </x:c>
      <x:c r="F7" s="44" t="n">
        <x:v>46660</x:v>
      </x:c>
      <x:c r="G7" s="42" t="str">
        <x:v>Direct</x:v>
      </x:c>
      <x:c r="H7" s="42" t="str">
        <x:v>Civil</x:v>
      </x:c>
      <x:c r="I7" s="45" t="n">
        <x:f>D7/$D$38</x:f>
        <x:v>0.02</x:v>
      </x:c>
      <x:c r="J7" s="42" t="n">
        <x:f>F7-E7+1</x:f>
        <x:v>214</x:v>
      </x:c>
    </x:row>
    <x:row r="8">
      <x:c r="A8" s="42" t="str">
        <x:v>2.3</x:v>
      </x:c>
      <x:c r="B8" s="42" t="str">
        <x:v>Sitework &amp; Civil</x:v>
      </x:c>
      <x:c r="C8" s="42" t="str">
        <x:v>Underground Electrical Ductbank</x:v>
      </x:c>
      <x:c r="D8" s="43" t="n">
        <x:v>5000000</x:v>
      </x:c>
      <x:c r="E8" s="44" t="n">
        <x:v>46478</x:v>
      </x:c>
      <x:c r="F8" s="44" t="n">
        <x:v>46691</x:v>
      </x:c>
      <x:c r="G8" s="42" t="str">
        <x:v>Direct</x:v>
      </x:c>
      <x:c r="H8" s="42" t="str">
        <x:v>Electrical</x:v>
      </x:c>
      <x:c r="I8" s="45" t="n">
        <x:f>D8/$D$38</x:f>
        <x:v>0.025</x:v>
      </x:c>
      <x:c r="J8" s="42" t="n">
        <x:f>F8-E8+1</x:f>
        <x:v>214</x:v>
      </x:c>
    </x:row>
    <x:row r="9">
      <x:c r="A9" s="42" t="str">
        <x:v>2.4</x:v>
      </x:c>
      <x:c r="B9" s="42" t="str">
        <x:v>Sitework &amp; Civil</x:v>
      </x:c>
      <x:c r="C9" s="42" t="str">
        <x:v>Roads / Paving / Site Concrete</x:v>
      </x:c>
      <x:c r="D9" s="43" t="n">
        <x:v>3000000</x:v>
      </x:c>
      <x:c r="E9" s="44" t="n">
        <x:v>46569</x:v>
      </x:c>
      <x:c r="F9" s="44" t="n">
        <x:v>46873</x:v>
      </x:c>
      <x:c r="G9" s="42" t="str">
        <x:v>Direct</x:v>
      </x:c>
      <x:c r="H9" s="42" t="str">
        <x:v>Civil</x:v>
      </x:c>
      <x:c r="I9" s="45" t="n">
        <x:f>D9/$D$38</x:f>
        <x:v>0.015</x:v>
      </x:c>
      <x:c r="J9" s="42" t="n">
        <x:f>F9-E9+1</x:f>
        <x:v>305</x:v>
      </x:c>
    </x:row>
    <x:row r="10">
      <x:c r="A10" s="42" t="str">
        <x:v>3.1</x:v>
      </x:c>
      <x:c r="B10" s="42" t="str">
        <x:v>Foundations &amp; Concrete</x:v>
      </x:c>
      <x:c r="C10" s="42" t="str">
        <x:v>Building Foundations</x:v>
      </x:c>
      <x:c r="D10" s="43" t="n">
        <x:v>8000000</x:v>
      </x:c>
      <x:c r="E10" s="44" t="n">
        <x:v>46478</x:v>
      </x:c>
      <x:c r="F10" s="44" t="n">
        <x:v>46660</x:v>
      </x:c>
      <x:c r="G10" s="42" t="str">
        <x:v>Direct</x:v>
      </x:c>
      <x:c r="H10" s="42" t="str">
        <x:v>Structural</x:v>
      </x:c>
      <x:c r="I10" s="45" t="n">
        <x:f>D10/$D$38</x:f>
        <x:v>0.04</x:v>
      </x:c>
      <x:c r="J10" s="42" t="n">
        <x:f>F10-E10+1</x:f>
        <x:v>183</x:v>
      </x:c>
    </x:row>
    <x:row r="11">
      <x:c r="A11" s="42" t="str">
        <x:v>3.2</x:v>
      </x:c>
      <x:c r="B11" s="42" t="str">
        <x:v>Foundations &amp; Concrete</x:v>
      </x:c>
      <x:c r="C11" s="42" t="str">
        <x:v>Slabs on Grade</x:v>
      </x:c>
      <x:c r="D11" s="43" t="n">
        <x:v>6000000</x:v>
      </x:c>
      <x:c r="E11" s="44" t="n">
        <x:v>46539</x:v>
      </x:c>
      <x:c r="F11" s="44" t="n">
        <x:v>46721</x:v>
      </x:c>
      <x:c r="G11" s="42" t="str">
        <x:v>Direct</x:v>
      </x:c>
      <x:c r="H11" s="42" t="str">
        <x:v>Structural</x:v>
      </x:c>
      <x:c r="I11" s="45" t="n">
        <x:f>D11/$D$38</x:f>
        <x:v>0.03</x:v>
      </x:c>
      <x:c r="J11" s="42" t="n">
        <x:f>F11-E11+1</x:f>
        <x:v>183</x:v>
      </x:c>
    </x:row>
    <x:row r="12">
      <x:c r="A12" s="42" t="str">
        <x:v>3.3</x:v>
      </x:c>
      <x:c r="B12" s="42" t="str">
        <x:v>Foundations &amp; Concrete</x:v>
      </x:c>
      <x:c r="C12" s="42" t="str">
        <x:v>Equipment Pads / Housekeeping Pads</x:v>
      </x:c>
      <x:c r="D12" s="43" t="n">
        <x:v>4000000</x:v>
      </x:c>
      <x:c r="E12" s="44" t="n">
        <x:v>46569</x:v>
      </x:c>
      <x:c r="F12" s="44" t="n">
        <x:v>46812</x:v>
      </x:c>
      <x:c r="G12" s="42" t="str">
        <x:v>Direct</x:v>
      </x:c>
      <x:c r="H12" s="42" t="str">
        <x:v>Structural</x:v>
      </x:c>
      <x:c r="I12" s="45" t="n">
        <x:f>D12/$D$38</x:f>
        <x:v>0.02</x:v>
      </x:c>
      <x:c r="J12" s="42" t="n">
        <x:f>F12-E12+1</x:f>
        <x:v>244</x:v>
      </x:c>
    </x:row>
    <x:row r="13">
      <x:c r="A13" s="42" t="str">
        <x:v>3.4</x:v>
      </x:c>
      <x:c r="B13" s="42" t="str">
        <x:v>Foundations &amp; Concrete</x:v>
      </x:c>
      <x:c r="C13" s="42" t="str">
        <x:v>Exterior Concrete / Miscellaneous</x:v>
      </x:c>
      <x:c r="D13" s="43" t="n">
        <x:v>6000000</x:v>
      </x:c>
      <x:c r="E13" s="44" t="n">
        <x:v>46600</x:v>
      </x:c>
      <x:c r="F13" s="44" t="n">
        <x:v>46904</x:v>
      </x:c>
      <x:c r="G13" s="42" t="str">
        <x:v>Direct</x:v>
      </x:c>
      <x:c r="H13" s="42" t="str">
        <x:v>Structural</x:v>
      </x:c>
      <x:c r="I13" s="45" t="n">
        <x:f>D13/$D$38</x:f>
        <x:v>0.03</x:v>
      </x:c>
      <x:c r="J13" s="42" t="n">
        <x:f>F13-E13+1</x:f>
        <x:v>305</x:v>
      </x:c>
    </x:row>
    <x:row r="14">
      <x:c r="A14" s="42" t="str">
        <x:v>4.1</x:v>
      </x:c>
      <x:c r="B14" s="42" t="str">
        <x:v>Structural Steel / Building Envelope</x:v>
      </x:c>
      <x:c r="C14" s="42" t="str">
        <x:v>Structural Steel</x:v>
      </x:c>
      <x:c r="D14" s="43" t="n">
        <x:v>12000000</x:v>
      </x:c>
      <x:c r="E14" s="44" t="n">
        <x:v>46569</x:v>
      </x:c>
      <x:c r="F14" s="44" t="n">
        <x:v>46783</x:v>
      </x:c>
      <x:c r="G14" s="42" t="str">
        <x:v>Direct</x:v>
      </x:c>
      <x:c r="H14" s="42" t="str">
        <x:v>Structural</x:v>
      </x:c>
      <x:c r="I14" s="45" t="n">
        <x:f>D14/$D$38</x:f>
        <x:v>0.06</x:v>
      </x:c>
      <x:c r="J14" s="42" t="n">
        <x:f>F14-E14+1</x:f>
        <x:v>215</x:v>
      </x:c>
    </x:row>
    <x:row r="15">
      <x:c r="A15" s="42" t="str">
        <x:v>4.2</x:v>
      </x:c>
      <x:c r="B15" s="42" t="str">
        <x:v>Structural Steel / Building Envelope</x:v>
      </x:c>
      <x:c r="C15" s="42" t="str">
        <x:v>Roofing / Waterproofing</x:v>
      </x:c>
      <x:c r="D15" s="43" t="n">
        <x:v>5000000</x:v>
      </x:c>
      <x:c r="E15" s="44" t="n">
        <x:v>46661</x:v>
      </x:c>
      <x:c r="F15" s="44" t="n">
        <x:v>46873</x:v>
      </x:c>
      <x:c r="G15" s="42" t="str">
        <x:v>Direct</x:v>
      </x:c>
      <x:c r="H15" s="42" t="str">
        <x:v>Envelope</x:v>
      </x:c>
      <x:c r="I15" s="45" t="n">
        <x:f>D15/$D$38</x:f>
        <x:v>0.025</x:v>
      </x:c>
      <x:c r="J15" s="42" t="n">
        <x:f>F15-E15+1</x:f>
        <x:v>213</x:v>
      </x:c>
    </x:row>
    <x:row r="16">
      <x:c r="A16" s="42" t="str">
        <x:v>4.3</x:v>
      </x:c>
      <x:c r="B16" s="42" t="str">
        <x:v>Structural Steel / Building Envelope</x:v>
      </x:c>
      <x:c r="C16" s="42" t="str">
        <x:v>Exterior Wall / Precast / Panels</x:v>
      </x:c>
      <x:c r="D16" s="43" t="n">
        <x:v>7000000</x:v>
      </x:c>
      <x:c r="E16" s="44" t="n">
        <x:v>46631</x:v>
      </x:c>
      <x:c r="F16" s="44" t="n">
        <x:v>46904</x:v>
      </x:c>
      <x:c r="G16" s="42" t="str">
        <x:v>Direct</x:v>
      </x:c>
      <x:c r="H16" s="42" t="str">
        <x:v>Envelope</x:v>
      </x:c>
      <x:c r="I16" s="45" t="n">
        <x:f>D16/$D$38</x:f>
        <x:v>0.035</x:v>
      </x:c>
      <x:c r="J16" s="42" t="n">
        <x:f>F16-E16+1</x:f>
        <x:v>274</x:v>
      </x:c>
    </x:row>
    <x:row r="17">
      <x:c r="A17" s="42" t="str">
        <x:v>4.4</x:v>
      </x:c>
      <x:c r="B17" s="42" t="str">
        <x:v>Structural Steel / Building Envelope</x:v>
      </x:c>
      <x:c r="C17" s="42" t="str">
        <x:v>Interior Buildout / Architectural</x:v>
      </x:c>
      <x:c r="D17" s="43" t="n">
        <x:v>4000000</x:v>
      </x:c>
      <x:c r="E17" s="44" t="n">
        <x:v>46753</x:v>
      </x:c>
      <x:c r="F17" s="44" t="n">
        <x:v>47026</x:v>
      </x:c>
      <x:c r="G17" s="42" t="str">
        <x:v>Direct</x:v>
      </x:c>
      <x:c r="H17" s="42" t="str">
        <x:v>Architectural</x:v>
      </x:c>
      <x:c r="I17" s="45" t="n">
        <x:f>D17/$D$38</x:f>
        <x:v>0.02</x:v>
      </x:c>
      <x:c r="J17" s="42" t="n">
        <x:f>F17-E17+1</x:f>
        <x:v>274</x:v>
      </x:c>
    </x:row>
    <x:row r="18">
      <x:c r="A18" s="42" t="str">
        <x:v>5.1</x:v>
      </x:c>
      <x:c r="B18" s="42" t="str">
        <x:v>Electrical</x:v>
      </x:c>
      <x:c r="C18" s="42" t="str">
        <x:v>Utility Service / MV Equipment</x:v>
      </x:c>
      <x:c r="D18" s="43" t="n">
        <x:v>8000000</x:v>
      </x:c>
      <x:c r="E18" s="44" t="n">
        <x:v>46508</x:v>
      </x:c>
      <x:c r="F18" s="44" t="n">
        <x:v>46904</x:v>
      </x:c>
      <x:c r="G18" s="42" t="str">
        <x:v>Direct</x:v>
      </x:c>
      <x:c r="H18" s="42" t="str">
        <x:v>Electrical</x:v>
      </x:c>
      <x:c r="I18" s="45" t="n">
        <x:f>D18/$D$38</x:f>
        <x:v>0.04</x:v>
      </x:c>
      <x:c r="J18" s="42" t="n">
        <x:f>F18-E18+1</x:f>
        <x:v>397</x:v>
      </x:c>
    </x:row>
    <x:row r="19">
      <x:c r="A19" s="42" t="str">
        <x:v>5.2</x:v>
      </x:c>
      <x:c r="B19" s="42" t="str">
        <x:v>Electrical</x:v>
      </x:c>
      <x:c r="C19" s="42" t="str">
        <x:v>Generators</x:v>
      </x:c>
      <x:c r="D19" s="43" t="n">
        <x:v>10000000</x:v>
      </x:c>
      <x:c r="E19" s="44" t="n">
        <x:v>46539</x:v>
      </x:c>
      <x:c r="F19" s="44" t="n">
        <x:v>46965</x:v>
      </x:c>
      <x:c r="G19" s="42" t="str">
        <x:v>Direct</x:v>
      </x:c>
      <x:c r="H19" s="42" t="str">
        <x:v>Electrical</x:v>
      </x:c>
      <x:c r="I19" s="45" t="n">
        <x:f>D19/$D$38</x:f>
        <x:v>0.05</x:v>
      </x:c>
      <x:c r="J19" s="42" t="n">
        <x:f>F19-E19+1</x:f>
        <x:v>427</x:v>
      </x:c>
    </x:row>
    <x:row r="20">
      <x:c r="A20" s="42" t="str">
        <x:v>5.3</x:v>
      </x:c>
      <x:c r="B20" s="42" t="str">
        <x:v>Electrical</x:v>
      </x:c>
      <x:c r="C20" s="42" t="str">
        <x:v>Switchgear / UPS / PDU</x:v>
      </x:c>
      <x:c r="D20" s="43" t="n">
        <x:v>11000000</x:v>
      </x:c>
      <x:c r="E20" s="44" t="n">
        <x:v>46569</x:v>
      </x:c>
      <x:c r="F20" s="44" t="n">
        <x:v>46996</x:v>
      </x:c>
      <x:c r="G20" s="42" t="str">
        <x:v>Direct</x:v>
      </x:c>
      <x:c r="H20" s="42" t="str">
        <x:v>Electrical</x:v>
      </x:c>
      <x:c r="I20" s="45" t="n">
        <x:f>D20/$D$38</x:f>
        <x:v>0.055</x:v>
      </x:c>
      <x:c r="J20" s="42" t="n">
        <x:f>F20-E20+1</x:f>
        <x:v>428</x:v>
      </x:c>
    </x:row>
    <x:row r="21">
      <x:c r="A21" s="42" t="str">
        <x:v>5.4</x:v>
      </x:c>
      <x:c r="B21" s="42" t="str">
        <x:v>Electrical</x:v>
      </x:c>
      <x:c r="C21" s="42" t="str">
        <x:v>Busway / Feeders / Distribution</x:v>
      </x:c>
      <x:c r="D21" s="43" t="n">
        <x:v>9000000</x:v>
      </x:c>
      <x:c r="E21" s="44" t="n">
        <x:v>46692</x:v>
      </x:c>
      <x:c r="F21" s="44" t="n">
        <x:v>47057</x:v>
      </x:c>
      <x:c r="G21" s="42" t="str">
        <x:v>Direct</x:v>
      </x:c>
      <x:c r="H21" s="42" t="str">
        <x:v>Electrical</x:v>
      </x:c>
      <x:c r="I21" s="45" t="n">
        <x:f>D21/$D$38</x:f>
        <x:v>0.045</x:v>
      </x:c>
      <x:c r="J21" s="42" t="n">
        <x:f>F21-E21+1</x:f>
        <x:v>366</x:v>
      </x:c>
    </x:row>
    <x:row r="22">
      <x:c r="A22" s="42" t="str">
        <x:v>5.5</x:v>
      </x:c>
      <x:c r="B22" s="42" t="str">
        <x:v>Electrical</x:v>
      </x:c>
      <x:c r="C22" s="42" t="str">
        <x:v>Lighting / Branch Power</x:v>
      </x:c>
      <x:c r="D22" s="43" t="n">
        <x:v>5000000</x:v>
      </x:c>
      <x:c r="E22" s="44" t="n">
        <x:v>46753</x:v>
      </x:c>
      <x:c r="F22" s="44" t="n">
        <x:v>47057</x:v>
      </x:c>
      <x:c r="G22" s="42" t="str">
        <x:v>Direct</x:v>
      </x:c>
      <x:c r="H22" s="42" t="str">
        <x:v>Electrical</x:v>
      </x:c>
      <x:c r="I22" s="45" t="n">
        <x:f>D22/$D$38</x:f>
        <x:v>0.025</x:v>
      </x:c>
      <x:c r="J22" s="42" t="n">
        <x:f>F22-E22+1</x:f>
        <x:v>305</x:v>
      </x:c>
    </x:row>
    <x:row r="23">
      <x:c r="A23" s="42" t="str">
        <x:v>5.6</x:v>
      </x:c>
      <x:c r="B23" s="42" t="str">
        <x:v>Electrical</x:v>
      </x:c>
      <x:c r="C23" s="42" t="str">
        <x:v>Grounding / Lightning Protection</x:v>
      </x:c>
      <x:c r="D23" s="43" t="n">
        <x:v>3000000</x:v>
      </x:c>
      <x:c r="E23" s="44" t="n">
        <x:v>46661</x:v>
      </x:c>
      <x:c r="F23" s="44" t="n">
        <x:v>46996</x:v>
      </x:c>
      <x:c r="G23" s="42" t="str">
        <x:v>Direct</x:v>
      </x:c>
      <x:c r="H23" s="42" t="str">
        <x:v>Electrical</x:v>
      </x:c>
      <x:c r="I23" s="45" t="n">
        <x:f>D23/$D$38</x:f>
        <x:v>0.015</x:v>
      </x:c>
      <x:c r="J23" s="42" t="n">
        <x:f>F23-E23+1</x:f>
        <x:v>336</x:v>
      </x:c>
    </x:row>
    <x:row r="24">
      <x:c r="A24" s="42" t="str">
        <x:v>6.1</x:v>
      </x:c>
      <x:c r="B24" s="42" t="str">
        <x:v>Mechanical / HVAC</x:v>
      </x:c>
      <x:c r="C24" s="42" t="str">
        <x:v>Chillers / Cooling Plant</x:v>
      </x:c>
      <x:c r="D24" s="43" t="n">
        <x:v>11000000</x:v>
      </x:c>
      <x:c r="E24" s="44" t="n">
        <x:v>46539</x:v>
      </x:c>
      <x:c r="F24" s="44" t="n">
        <x:v>46965</x:v>
      </x:c>
      <x:c r="G24" s="42" t="str">
        <x:v>Direct</x:v>
      </x:c>
      <x:c r="H24" s="42" t="str">
        <x:v>Mechanical</x:v>
      </x:c>
      <x:c r="I24" s="45" t="n">
        <x:f>D24/$D$38</x:f>
        <x:v>0.055</x:v>
      </x:c>
      <x:c r="J24" s="42" t="n">
        <x:f>F24-E24+1</x:f>
        <x:v>427</x:v>
      </x:c>
    </x:row>
    <x:row r="25">
      <x:c r="A25" s="42" t="str">
        <x:v>6.2</x:v>
      </x:c>
      <x:c r="B25" s="42" t="str">
        <x:v>Mechanical / HVAC</x:v>
      </x:c>
      <x:c r="C25" s="42" t="str">
        <x:v>CRAH / AHU Equipment</x:v>
      </x:c>
      <x:c r="D25" s="43" t="n">
        <x:v>8000000</x:v>
      </x:c>
      <x:c r="E25" s="44" t="n">
        <x:v>46631</x:v>
      </x:c>
      <x:c r="F25" s="44" t="n">
        <x:v>46996</x:v>
      </x:c>
      <x:c r="G25" s="42" t="str">
        <x:v>Direct</x:v>
      </x:c>
      <x:c r="H25" s="42" t="str">
        <x:v>Mechanical</x:v>
      </x:c>
      <x:c r="I25" s="45" t="n">
        <x:f>D25/$D$38</x:f>
        <x:v>0.04</x:v>
      </x:c>
      <x:c r="J25" s="42" t="n">
        <x:f>F25-E25+1</x:f>
        <x:v>366</x:v>
      </x:c>
    </x:row>
    <x:row r="26">
      <x:c r="A26" s="42" t="str">
        <x:v>6.3</x:v>
      </x:c>
      <x:c r="B26" s="42" t="str">
        <x:v>Mechanical / HVAC</x:v>
      </x:c>
      <x:c r="C26" s="42" t="str">
        <x:v>Piping / Pumps / Hydronic Distribution</x:v>
      </x:c>
      <x:c r="D26" s="43" t="n">
        <x:v>8000000</x:v>
      </x:c>
      <x:c r="E26" s="44" t="n">
        <x:v>46661</x:v>
      </x:c>
      <x:c r="F26" s="44" t="n">
        <x:v>47057</x:v>
      </x:c>
      <x:c r="G26" s="42" t="str">
        <x:v>Direct</x:v>
      </x:c>
      <x:c r="H26" s="42" t="str">
        <x:v>Mechanical</x:v>
      </x:c>
      <x:c r="I26" s="45" t="n">
        <x:f>D26/$D$38</x:f>
        <x:v>0.04</x:v>
      </x:c>
      <x:c r="J26" s="42" t="n">
        <x:f>F26-E26+1</x:f>
        <x:v>397</x:v>
      </x:c>
    </x:row>
    <x:row r="27">
      <x:c r="A27" s="42" t="str">
        <x:v>6.4</x:v>
      </x:c>
      <x:c r="B27" s="42" t="str">
        <x:v>Mechanical / HVAC</x:v>
      </x:c>
      <x:c r="C27" s="42" t="str">
        <x:v>Ductwork / Ventilation</x:v>
      </x:c>
      <x:c r="D27" s="43" t="n">
        <x:v>5000000</x:v>
      </x:c>
      <x:c r="E27" s="44" t="n">
        <x:v>46753</x:v>
      </x:c>
      <x:c r="F27" s="44" t="n">
        <x:v>47026</x:v>
      </x:c>
      <x:c r="G27" s="42" t="str">
        <x:v>Direct</x:v>
      </x:c>
      <x:c r="H27" s="42" t="str">
        <x:v>Mechanical</x:v>
      </x:c>
      <x:c r="I27" s="45" t="n">
        <x:f>D27/$D$38</x:f>
        <x:v>0.025</x:v>
      </x:c>
      <x:c r="J27" s="42" t="n">
        <x:f>F27-E27+1</x:f>
        <x:v>274</x:v>
      </x:c>
    </x:row>
    <x:row r="28">
      <x:c r="A28" s="42" t="str">
        <x:v>6.5</x:v>
      </x:c>
      <x:c r="B28" s="42" t="str">
        <x:v>Mechanical / HVAC</x:v>
      </x:c>
      <x:c r="C28" s="42" t="str">
        <x:v>Plumbing / Fire Protection</x:v>
      </x:c>
      <x:c r="D28" s="43" t="n">
        <x:v>6000000</x:v>
      </x:c>
      <x:c r="E28" s="44" t="n">
        <x:v>46692</x:v>
      </x:c>
      <x:c r="F28" s="44" t="n">
        <x:v>47026</x:v>
      </x:c>
      <x:c r="G28" s="42" t="str">
        <x:v>Direct</x:v>
      </x:c>
      <x:c r="H28" s="42" t="str">
        <x:v>Mechanical</x:v>
      </x:c>
      <x:c r="I28" s="45" t="n">
        <x:f>D28/$D$38</x:f>
        <x:v>0.03</x:v>
      </x:c>
      <x:c r="J28" s="42" t="n">
        <x:f>F28-E28+1</x:f>
        <x:v>335</x:v>
      </x:c>
    </x:row>
    <x:row r="29">
      <x:c r="A29" s="42" t="str">
        <x:v>7.1</x:v>
      </x:c>
      <x:c r="B29" s="42" t="str">
        <x:v>Controls / Low Voltage / Security</x:v>
      </x:c>
      <x:c r="C29" s="42" t="str">
        <x:v>BMS / EPMS Controls</x:v>
      </x:c>
      <x:c r="D29" s="43" t="n">
        <x:v>4000000</x:v>
      </x:c>
      <x:c r="E29" s="44" t="n">
        <x:v>46753</x:v>
      </x:c>
      <x:c r="F29" s="44" t="n">
        <x:v>47087</x:v>
      </x:c>
      <x:c r="G29" s="42" t="str">
        <x:v>Direct</x:v>
      </x:c>
      <x:c r="H29" s="42" t="str">
        <x:v>Controls</x:v>
      </x:c>
      <x:c r="I29" s="45" t="n">
        <x:f>D29/$D$38</x:f>
        <x:v>0.02</x:v>
      </x:c>
      <x:c r="J29" s="42" t="n">
        <x:f>F29-E29+1</x:f>
        <x:v>335</x:v>
      </x:c>
    </x:row>
    <x:row r="30">
      <x:c r="A30" s="42" t="str">
        <x:v>7.2</x:v>
      </x:c>
      <x:c r="B30" s="42" t="str">
        <x:v>Controls / Low Voltage / Security</x:v>
      </x:c>
      <x:c r="C30" s="42" t="str">
        <x:v>Telecom / Structured Cabling</x:v>
      </x:c>
      <x:c r="D30" s="43" t="n">
        <x:v>2000000</x:v>
      </x:c>
      <x:c r="E30" s="44" t="n">
        <x:v>46813</x:v>
      </x:c>
      <x:c r="F30" s="44" t="n">
        <x:v>47087</x:v>
      </x:c>
      <x:c r="G30" s="42" t="str">
        <x:v>Direct</x:v>
      </x:c>
      <x:c r="H30" s="42" t="str">
        <x:v>Low Voltage</x:v>
      </x:c>
      <x:c r="I30" s="45" t="n">
        <x:f>D30/$D$38</x:f>
        <x:v>0.01</x:v>
      </x:c>
      <x:c r="J30" s="42" t="n">
        <x:f>F30-E30+1</x:f>
        <x:v>275</x:v>
      </x:c>
    </x:row>
    <x:row r="31">
      <x:c r="A31" s="42" t="str">
        <x:v>7.3</x:v>
      </x:c>
      <x:c r="B31" s="42" t="str">
        <x:v>Controls / Low Voltage / Security</x:v>
      </x:c>
      <x:c r="C31" s="42" t="str">
        <x:v>Security / Access Control / CCTV</x:v>
      </x:c>
      <x:c r="D31" s="43" t="n">
        <x:v>2000000</x:v>
      </x:c>
      <x:c r="E31" s="44" t="n">
        <x:v>46844</x:v>
      </x:c>
      <x:c r="F31" s="44" t="n">
        <x:v>47087</x:v>
      </x:c>
      <x:c r="G31" s="42" t="str">
        <x:v>Direct</x:v>
      </x:c>
      <x:c r="H31" s="42" t="str">
        <x:v>Security</x:v>
      </x:c>
      <x:c r="I31" s="45" t="n">
        <x:f>D31/$D$38</x:f>
        <x:v>0.01</x:v>
      </x:c>
      <x:c r="J31" s="42" t="n">
        <x:f>F31-E31+1</x:f>
        <x:v>244</x:v>
      </x:c>
    </x:row>
    <x:row r="32">
      <x:c r="A32" s="42" t="str">
        <x:v>7.4</x:v>
      </x:c>
      <x:c r="B32" s="42" t="str">
        <x:v>Controls / Low Voltage / Security</x:v>
      </x:c>
      <x:c r="C32" s="42" t="str">
        <x:v>Fire Alarm / Life Safety Controls</x:v>
      </x:c>
      <x:c r="D32" s="43" t="n">
        <x:v>2000000</x:v>
      </x:c>
      <x:c r="E32" s="44" t="n">
        <x:v>46784</x:v>
      </x:c>
      <x:c r="F32" s="44" t="n">
        <x:v>47087</x:v>
      </x:c>
      <x:c r="G32" s="42" t="str">
        <x:v>Direct</x:v>
      </x:c>
      <x:c r="H32" s="42" t="str">
        <x:v>Low Voltage</x:v>
      </x:c>
      <x:c r="I32" s="45" t="n">
        <x:f>D32/$D$38</x:f>
        <x:v>0.01</x:v>
      </x:c>
      <x:c r="J32" s="42" t="n">
        <x:f>F32-E32+1</x:f>
        <x:v>304</x:v>
      </x:c>
    </x:row>
    <x:row r="33">
      <x:c r="A33" s="42" t="str">
        <x:v>8.1</x:v>
      </x:c>
      <x:c r="B33" s="42" t="str">
        <x:v>Commissioning &amp; Turnover</x:v>
      </x:c>
      <x:c r="C33" s="42" t="str">
        <x:v>Level 1-3 Commissioning</x:v>
      </x:c>
      <x:c r="D33" s="43" t="n">
        <x:v>2500000</x:v>
      </x:c>
      <x:c r="E33" s="44" t="n">
        <x:v>46874</x:v>
      </x:c>
      <x:c r="F33" s="44" t="n">
        <x:v>47057</x:v>
      </x:c>
      <x:c r="G33" s="42" t="str">
        <x:v>Direct</x:v>
      </x:c>
      <x:c r="H33" s="42" t="str">
        <x:v>Commissioning</x:v>
      </x:c>
      <x:c r="I33" s="45" t="n">
        <x:f>D33/$D$38</x:f>
        <x:v>0.0125</x:v>
      </x:c>
      <x:c r="J33" s="42" t="n">
        <x:f>F33-E33+1</x:f>
        <x:v>184</x:v>
      </x:c>
    </x:row>
    <x:row r="34">
      <x:c r="A34" s="42" t="str">
        <x:v>8.2</x:v>
      </x:c>
      <x:c r="B34" s="42" t="str">
        <x:v>Commissioning &amp; Turnover</x:v>
      </x:c>
      <x:c r="C34" s="42" t="str">
        <x:v>Level 4-5 Integrated Systems Testing</x:v>
      </x:c>
      <x:c r="D34" s="43" t="n">
        <x:v>3000000</x:v>
      </x:c>
      <x:c r="E34" s="44" t="n">
        <x:v>46966</x:v>
      </x:c>
      <x:c r="F34" s="44" t="n">
        <x:v>47102</x:v>
      </x:c>
      <x:c r="G34" s="42" t="str">
        <x:v>Direct</x:v>
      </x:c>
      <x:c r="H34" s="42" t="str">
        <x:v>Commissioning</x:v>
      </x:c>
      <x:c r="I34" s="45" t="n">
        <x:f>D34/$D$38</x:f>
        <x:v>0.015</x:v>
      </x:c>
      <x:c r="J34" s="42" t="n">
        <x:f>F34-E34+1</x:f>
        <x:v>137</x:v>
      </x:c>
    </x:row>
    <x:row r="35">
      <x:c r="A35" s="42" t="str">
        <x:v>8.3</x:v>
      </x:c>
      <x:c r="B35" s="42" t="str">
        <x:v>Commissioning &amp; Turnover</x:v>
      </x:c>
      <x:c r="C35" s="42" t="str">
        <x:v>Training / O&amp;M / Closeout</x:v>
      </x:c>
      <x:c r="D35" s="43" t="n">
        <x:v>1500000</x:v>
      </x:c>
      <x:c r="E35" s="44" t="n">
        <x:v>46997</x:v>
      </x:c>
      <x:c r="F35" s="44" t="n">
        <x:v>47118</x:v>
      </x:c>
      <x:c r="G35" s="42" t="str">
        <x:v>Indirect</x:v>
      </x:c>
      <x:c r="H35" s="42" t="str">
        <x:v>Commissioning</x:v>
      </x:c>
      <x:c r="I35" s="45" t="n">
        <x:f>D35/$D$38</x:f>
        <x:v>0.0075</x:v>
      </x:c>
      <x:c r="J35" s="42" t="n">
        <x:f>F35-E35+1</x:f>
        <x:v>122</x:v>
      </x:c>
    </x:row>
    <x:row r="36">
      <x:c r="A36" s="42" t="str">
        <x:v>8.4</x:v>
      </x:c>
      <x:c r="B36" s="42" t="str">
        <x:v>Commissioning &amp; Turnover</x:v>
      </x:c>
      <x:c r="C36" s="42" t="str">
        <x:v>Punchlist / Final Acceptance</x:v>
      </x:c>
      <x:c r="D36" s="43" t="n">
        <x:v>1000000</x:v>
      </x:c>
      <x:c r="E36" s="44" t="n">
        <x:v>47027</x:v>
      </x:c>
      <x:c r="F36" s="44" t="n">
        <x:v>47118</x:v>
      </x:c>
      <x:c r="G36" s="42" t="str">
        <x:v>Indirect</x:v>
      </x:c>
      <x:c r="H36" s="42" t="str">
        <x:v>Project Management</x:v>
      </x:c>
      <x:c r="I36" s="45" t="n">
        <x:f>D36/$D$38</x:f>
        <x:v>0.005</x:v>
      </x:c>
      <x:c r="J36" s="42" t="n">
        <x:f>F36-E36+1</x:f>
        <x:v>92</x:v>
      </x:c>
    </x:row>
    <x:row r="37">
      <x:c r="A37" s="42" t="str">
        <x:v>9.1</x:v>
      </x:c>
      <x:c r="B37" s="42" t="str">
        <x:v>Management Reserve</x:v>
      </x:c>
      <x:c r="C37" s="42" t="str">
        <x:v>Management Reserve (Outside PMB/BAC)</x:v>
      </x:c>
      <x:c r="D37" s="43" t="n">
        <x:v>18000000</x:v>
      </x:c>
      <x:c r="E37" s="44" t="n">
        <x:v>46388</x:v>
      </x:c>
      <x:c r="F37" s="44" t="n">
        <x:v>47118</x:v>
      </x:c>
      <x:c r="G37" s="42" t="str">
        <x:v>Reserve</x:v>
      </x:c>
      <x:c r="H37" s="42" t="str">
        <x:v>Project Executive</x:v>
      </x:c>
      <x:c r="I37" s="45" t="n">
        <x:f>D37/$D$38</x:f>
        <x:v>0.09</x:v>
      </x:c>
      <x:c r="J37" s="42" t="n">
        <x:f>F37-E37+1</x:f>
        <x:v>731</x:v>
      </x:c>
    </x:row>
    <x:row r="38">
      <x:c r="A38" s="46" t="str">
        <x:v>TOTAL</x:v>
      </x:c>
      <x:c r="B38" s="46" t="str"/>
      <x:c r="C38" s="46" t="str"/>
      <x:c r="D38" s="47" t="n">
        <x:f>SUM(D2:D37)</x:f>
        <x:v>200000000</x:v>
      </x:c>
      <x:c r="E38" s="46"/>
      <x:c r="F38" s="46"/>
      <x:c r="G38" s="46"/>
      <x:c r="H38" s="46"/>
      <x:c r="I38" s="48" t="n">
        <x:f>SUM(I2:I37)</x:f>
        <x:v>1.0000000000000002</x:v>
      </x:c>
      <x:c r="J38" s="4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2" t="str">
        <x:v>Month</x:v>
      </x:c>
      <x:c r="B1" s="22" t="str">
        <x:v>Monthly Planned Value (PV)</x:v>
      </x:c>
      <x:c r="C1" s="22" t="str">
        <x:v>Cumulative PV</x:v>
      </x:c>
    </x:row>
    <x:row r="2">
      <x:c r="A2" s="56" t="n">
        <x:v>46388</x:v>
      </x:c>
      <x:c r="B2" s="16" t="n">
        <x:v>956439.39</x:v>
      </x:c>
      <x:c r="C2" s="16" t="n">
        <x:f>B2</x:f>
        <x:v>956439.39</x:v>
      </x:c>
    </x:row>
    <x:row r="3">
      <x:c r="A3" s="56" t="n">
        <x:v>46419</x:v>
      </x:c>
      <x:c r="B3" s="16" t="n">
        <x:v>1756439.39</x:v>
      </x:c>
      <x:c r="C3" s="16" t="n">
        <x:f>C2+B3</x:f>
        <x:v>2712878.78</x:v>
      </x:c>
    </x:row>
    <x:row r="4">
      <x:c r="A4" s="56" t="n">
        <x:v>46447</x:v>
      </x:c>
      <x:c r="B4" s="16" t="n">
        <x:v>2327867.97</x:v>
      </x:c>
      <x:c r="C4" s="16" t="n">
        <x:f>C3+B4</x:f>
        <x:v>5040746.75</x:v>
      </x:c>
    </x:row>
    <x:row r="5">
      <x:c r="A5" s="56" t="n">
        <x:v>46478</x:v>
      </x:c>
      <x:c r="B5" s="16" t="n">
        <x:v>4375487.01</x:v>
      </x:c>
      <x:c r="C5" s="16" t="n">
        <x:f>C4+B5</x:f>
        <x:v>9416233.76</x:v>
      </x:c>
    </x:row>
    <x:row r="6">
      <x:c r="A6" s="56" t="n">
        <x:v>46508</x:v>
      </x:c>
      <x:c r="B6" s="16" t="n">
        <x:v>4990871.63</x:v>
      </x:c>
      <x:c r="C6" s="16" t="n">
        <x:f>C5+B6</x:f>
        <x:v>14407105.39</x:v>
      </x:c>
    </x:row>
    <x:row r="7">
      <x:c r="A7" s="56" t="n">
        <x:v>46539</x:v>
      </x:c>
      <x:c r="B7" s="16" t="n">
        <x:v>7490871.63</x:v>
      </x:c>
      <x:c r="C7" s="16" t="n">
        <x:f>C6+B7</x:f>
        <x:v>21897977.02</x:v>
      </x:c>
    </x:row>
    <x:row r="8">
      <x:c r="A8" s="56" t="n">
        <x:v>46569</x:v>
      </x:c>
      <x:c r="B8" s="16" t="n">
        <x:v>9574204.96</x:v>
      </x:c>
      <x:c r="C8" s="16" t="n">
        <x:f>C7+B8</x:f>
        <x:v>31472181.98</x:v>
      </x:c>
    </x:row>
    <x:row r="9">
      <x:c r="A9" s="56" t="n">
        <x:v>46600</x:v>
      </x:c>
      <x:c r="B9" s="16" t="n">
        <x:v>10174204.96</x:v>
      </x:c>
      <x:c r="C9" s="16" t="n">
        <x:f>C8+B9</x:f>
        <x:v>41646386.94</x:v>
      </x:c>
    </x:row>
    <x:row r="10">
      <x:c r="A10" s="56" t="n">
        <x:v>46631</x:v>
      </x:c>
      <x:c r="B10" s="16" t="n">
        <x:v>11431149.41</x:v>
      </x:c>
      <x:c r="C10" s="16" t="n">
        <x:f>C9+B10</x:f>
        <x:v>53077536.349999994</x:v>
      </x:c>
    </x:row>
    <x:row r="11">
      <x:c r="A11" s="56" t="n">
        <x:v>46661</x:v>
      </x:c>
      <x:c r="B11" s="16" t="n">
        <x:v>11128785.1</x:v>
      </x:c>
      <x:c r="C11" s="16" t="n">
        <x:f>C10+B11</x:f>
        <x:v>64206321.449999996</x:v>
      </x:c>
    </x:row>
    <x:row r="12">
      <x:c r="A12" s="56" t="n">
        <x:v>46692</x:v>
      </x:c>
      <x:c r="B12" s="16" t="n">
        <x:v>11709953.93</x:v>
      </x:c>
      <x:c r="C12" s="16" t="n">
        <x:f>C11+B12</x:f>
        <x:v>75916275.38</x:v>
      </x:c>
    </x:row>
    <x:row r="13">
      <x:c r="A13" s="56" t="n">
        <x:v>46722</x:v>
      </x:c>
      <x:c r="B13" s="16" t="n">
        <x:v>10709953.93</x:v>
      </x:c>
      <x:c r="C13" s="16" t="n">
        <x:f>C12+B13</x:f>
        <x:v>86626229.31</x:v>
      </x:c>
    </x:row>
    <x:row r="14">
      <x:c r="A14" s="56" t="n">
        <x:v>46753</x:v>
      </x:c>
      <x:c r="B14" s="16" t="n">
        <x:v>12573590.3</x:v>
      </x:c>
      <x:c r="C14" s="16" t="n">
        <x:f>C13+B14</x:f>
        <x:v>99199819.61</x:v>
      </x:c>
    </x:row>
    <x:row r="15">
      <x:c r="A15" s="56" t="n">
        <x:v>46784</x:v>
      </x:c>
      <x:c r="B15" s="16" t="n">
        <x:v>11059304.58</x:v>
      </x:c>
      <x:c r="C15" s="16" t="n">
        <x:f>C14+B15</x:f>
        <x:v>110259124.19</x:v>
      </x:c>
    </x:row>
    <x:row r="16">
      <x:c r="A16" s="56" t="n">
        <x:v>46813</x:v>
      </x:c>
      <x:c r="B16" s="16" t="n">
        <x:v>10781526.81</x:v>
      </x:c>
      <x:c r="C16" s="16" t="n">
        <x:f>C15+B16</x:f>
        <x:v>121040651</x:v>
      </x:c>
    </x:row>
    <x:row r="17">
      <x:c r="A17" s="56" t="n">
        <x:v>46844</x:v>
      </x:c>
      <x:c r="B17" s="16" t="n">
        <x:v>11031526.81</x:v>
      </x:c>
      <x:c r="C17" s="16" t="n">
        <x:f>C16+B17</x:f>
        <x:v>132072177.81</x:v>
      </x:c>
    </x:row>
    <x:row r="18">
      <x:c r="A18" s="56" t="n">
        <x:v>46874</x:v>
      </x:c>
      <x:c r="B18" s="16" t="n">
        <x:v>10433907.76</x:v>
      </x:c>
      <x:c r="C18" s="16" t="n">
        <x:f>C17+B18</x:f>
        <x:v>142506085.57</x:v>
      </x:c>
    </x:row>
    <x:row r="19">
      <x:c r="A19" s="56" t="n">
        <x:v>46905</x:v>
      </x:c>
      <x:c r="B19" s="16" t="n">
        <x:v>8440745.37</x:v>
      </x:c>
      <x:c r="C19" s="16" t="n">
        <x:f>C18+B19</x:f>
        <x:v>150946830.94</x:v>
      </x:c>
    </x:row>
    <x:row r="20">
      <x:c r="A20" s="56" t="n">
        <x:v>46935</x:v>
      </x:c>
      <x:c r="B20" s="16" t="n">
        <x:v>8440745.37</x:v>
      </x:c>
      <x:c r="C20" s="16" t="n">
        <x:f>C19+B20</x:f>
        <x:v>159387576.31</x:v>
      </x:c>
    </x:row>
    <x:row r="21">
      <x:c r="A21" s="56" t="n">
        <x:v>46966</x:v>
      </x:c>
      <x:c r="B21" s="16" t="n">
        <x:v>7540745.37</x:v>
      </x:c>
      <x:c r="C21" s="16" t="n">
        <x:f>C20+B21</x:f>
        <x:v>166928321.68</x:v>
      </x:c>
    </x:row>
    <x:row r="22">
      <x:c r="A22" s="56" t="n">
        <x:v>46997</x:v>
      </x:c>
      <x:c r="B22" s="16" t="n">
        <x:v>6190637.14</x:v>
      </x:c>
      <x:c r="C22" s="16" t="n">
        <x:f>C21+B22</x:f>
        <x:v>173118958.82</x:v>
      </x:c>
    </x:row>
    <x:row r="23">
      <x:c r="A23" s="56" t="n">
        <x:v>47027</x:v>
      </x:c>
      <x:c r="B23" s="16" t="n">
        <x:v>4978515.93</x:v>
      </x:c>
      <x:c r="C23" s="16" t="n">
        <x:f>C22+B23</x:f>
        <x:v>178097474.75</x:v>
      </x:c>
    </x:row>
    <x:row r="24">
      <x:c r="A24" s="56" t="n">
        <x:v>47058</x:v>
      </x:c>
      <x:c r="B24" s="16" t="n">
        <x:v>2469191.92</x:v>
      </x:c>
      <x:c r="C24" s="16" t="n">
        <x:f>C23+B24</x:f>
        <x:v>180566666.67</x:v>
      </x:c>
    </x:row>
    <x:row r="25">
      <x:c r="A25" s="56" t="n">
        <x:v>47088</x:v>
      </x:c>
      <x:c r="B25" s="16" t="n">
        <x:v>1433333.33</x:v>
      </x:c>
      <x:c r="C25" s="16" t="n">
        <x:f>C24+B25</x:f>
        <x:v>182000000</x:v>
      </x:c>
    </x:row>
    <x:row r="27">
      <x:c r="A27" s="22" t="str">
        <x:v>Baseline KPIs</x:v>
      </x:c>
      <x:c r="B27" s="22" t="str">
        <x:v>Value</x:v>
      </x:c>
    </x:row>
    <x:row r="28">
      <x:c r="A28" t="str">
        <x:v>Total Project Budget</x:v>
      </x:c>
      <x:c r="B28" s="16" t="n">
        <x:v>200000000</x:v>
      </x:c>
    </x:row>
    <x:row r="29">
      <x:c r="A29" t="str">
        <x:v>BAC / PMB</x:v>
      </x:c>
      <x:c r="B29" s="16" t="n">
        <x:v>182000000</x:v>
      </x:c>
    </x:row>
    <x:row r="30">
      <x:c r="A30" t="str">
        <x:v>Management Reserve</x:v>
      </x:c>
      <x:c r="B30" s="16" t="n">
        <x:v>18000000</x:v>
      </x:c>
    </x:row>
  </x:sheetData>
  <x:pageMargins left="0.7" right="0.7" top="0.75" bottom="0.75" header="0.3" footer="0.3"/>
  <x:drawing xmlns:r="http://schemas.openxmlformats.org/officeDocument/2006/relationships" r:id="R49becab7e9584095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22" t="str">
        <x:v>Field / Metric</x:v>
      </x:c>
      <x:c r="B1" s="22" t="str">
        <x:v>Definition</x:v>
      </x:c>
    </x:row>
    <x:row r="2">
      <x:c r="A2" t="str">
        <x:v>BAC</x:v>
      </x:c>
      <x:c r="B2" t="str">
        <x:v>Budget at Completion: total budget in the Performance Measurement Baseline used for EVM; excludes Management Reserve in this portfolio model.</x:v>
      </x:c>
    </x:row>
    <x:row r="3">
      <x:c r="A3" t="str">
        <x:v>PV</x:v>
      </x:c>
      <x:c r="B3" t="str">
        <x:v>Planned Value: budgeted cost of work scheduled by the status date.</x:v>
      </x:c>
    </x:row>
    <x:row r="4">
      <x:c r="A4" t="str">
        <x:v>EV</x:v>
      </x:c>
      <x:c r="B4" t="str">
        <x:v>Earned Value: budgeted cost of work actually performed.</x:v>
      </x:c>
    </x:row>
    <x:row r="5">
      <x:c r="A5" t="str">
        <x:v>AC</x:v>
      </x:c>
      <x:c r="B5" t="str">
        <x:v>Actual Cost: cost incurred for work performed.</x:v>
      </x:c>
    </x:row>
    <x:row r="6">
      <x:c r="A6" t="str">
        <x:v>CPI</x:v>
      </x:c>
      <x:c r="B6" t="str">
        <x:v>Cost Performance Index = EV / AC.</x:v>
      </x:c>
    </x:row>
    <x:row r="7">
      <x:c r="A7" t="str">
        <x:v>SPI</x:v>
      </x:c>
      <x:c r="B7" t="str">
        <x:v>Schedule Performance Index = EV / PV.</x:v>
      </x:c>
    </x:row>
    <x:row r="8">
      <x:c r="A8" t="str">
        <x:v>CV</x:v>
      </x:c>
      <x:c r="B8" t="str">
        <x:v>Cost Variance = EV - AC.</x:v>
      </x:c>
    </x:row>
    <x:row r="9">
      <x:c r="A9" t="str">
        <x:v>SV</x:v>
      </x:c>
      <x:c r="B9" t="str">
        <x:v>Schedule Variance = EV - PV.</x:v>
      </x:c>
    </x:row>
    <x:row r="10">
      <x:c r="A10" t="str">
        <x:v>EAC</x:v>
      </x:c>
      <x:c r="B10" t="str">
        <x:v>Estimate at Completion: forecast final project cost.</x:v>
      </x:c>
    </x:row>
    <x:row r="11">
      <x:c r="A11" t="str">
        <x:v>ETC</x:v>
      </x:c>
      <x:c r="B11" t="str">
        <x:v>Estimate to Complete = EAC - AC.</x:v>
      </x:c>
    </x:row>
    <x:row r="12">
      <x:c r="A12" t="str">
        <x:v>VAC</x:v>
      </x:c>
      <x:c r="B12" t="str">
        <x:v>Variance at Completion = BAC - EAC.</x:v>
      </x:c>
    </x:row>
    <x:row r="13">
      <x:c r="A13" t="str">
        <x:v>TCPI</x:v>
      </x:c>
      <x:c r="B13" t="str">
        <x:v>To-Complete Performance Index: required cost efficiency to hit a target.</x:v>
      </x:c>
    </x:row>
    <x:row r="14">
      <x:c r="A14" t="str">
        <x:v>PMB</x:v>
      </x:c>
      <x:c r="B14" t="str">
        <x:v>Performance Measurement Baseline: time-phased budget used for performance measurement.</x:v>
      </x:c>
    </x:row>
    <x:row r="15">
      <x:c r="A15" t="str">
        <x:v>Management Reserve</x:v>
      </x:c>
      <x:c r="B15" t="str">
        <x:v>Budget held outside the Performance Measurement Baseline for unknown-unknowns/management control; not earned as EV until formally transferred into scope/budget.</x:v>
      </x:c>
    </x:row>
  </x:sheetData>
  <x:pageMargins left="0.7" right="0.7" top="0.75" bottom="0.75" header="0.3" footer="0.3"/>
</x:worksheet>
</file>